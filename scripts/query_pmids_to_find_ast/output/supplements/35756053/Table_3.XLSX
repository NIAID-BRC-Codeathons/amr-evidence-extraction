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O:\Surveillance\Resistens\Projects\proj1139 Antimicrobial resistance One day in Denmark\2nd publication geno-pheno\"/>
    </mc:Choice>
  </mc:AlternateContent>
  <xr:revisionPtr revIDLastSave="0" documentId="13_ncr:1_{753DC6BE-B25E-4033-96AD-21409C2B7B3C}" xr6:coauthVersionLast="47" xr6:coauthVersionMax="47" xr10:uidLastSave="{00000000-0000-0000-0000-000000000000}"/>
  <bookViews>
    <workbookView xWindow="-120" yWindow="-120" windowWidth="29040" windowHeight="17640" xr2:uid="{460B457F-2092-42CC-A37E-57D0BD805A0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1922" i="1" l="1"/>
  <c r="F1920" i="1"/>
  <c r="K1931" i="1"/>
  <c r="M1930" i="1"/>
  <c r="M1931" i="1" s="1"/>
  <c r="L1930" i="1"/>
  <c r="L1931" i="1" s="1"/>
  <c r="K1930" i="1"/>
  <c r="J1930" i="1"/>
  <c r="J1931" i="1" s="1"/>
  <c r="I1930" i="1"/>
  <c r="I1931" i="1" s="1"/>
  <c r="G1930" i="1"/>
  <c r="G1931" i="1" s="1"/>
  <c r="F1930" i="1"/>
  <c r="F1931" i="1" s="1"/>
  <c r="E1930" i="1"/>
  <c r="E1931" i="1" s="1"/>
  <c r="D1930" i="1"/>
  <c r="D1931" i="1" s="1"/>
  <c r="C1930" i="1"/>
  <c r="C1931" i="1" s="1"/>
  <c r="J1929" i="1"/>
  <c r="M1928" i="1"/>
  <c r="M1929" i="1" s="1"/>
  <c r="L1928" i="1"/>
  <c r="L1929" i="1" s="1"/>
  <c r="K1928" i="1"/>
  <c r="K1929" i="1" s="1"/>
  <c r="J1928" i="1"/>
  <c r="I1928" i="1"/>
  <c r="I1929" i="1" s="1"/>
  <c r="G1928" i="1"/>
  <c r="G1929" i="1" s="1"/>
  <c r="F1928" i="1"/>
  <c r="F1929" i="1" s="1"/>
  <c r="E1928" i="1"/>
  <c r="E1929" i="1" s="1"/>
  <c r="D1928" i="1"/>
  <c r="D1929" i="1" s="1"/>
  <c r="C1928" i="1"/>
  <c r="C1929" i="1" s="1"/>
  <c r="N1927" i="1"/>
  <c r="H1927" i="1"/>
  <c r="N1926" i="1"/>
  <c r="H1926" i="1"/>
  <c r="N1925" i="1"/>
  <c r="H1925" i="1"/>
  <c r="O1925" i="1" s="1"/>
  <c r="N1924" i="1"/>
  <c r="O1924" i="1" s="1"/>
  <c r="H1924" i="1"/>
  <c r="N1923" i="1"/>
  <c r="O1923" i="1" s="1"/>
  <c r="H1923" i="1"/>
  <c r="M1922" i="1"/>
  <c r="L1922" i="1"/>
  <c r="K1922" i="1"/>
  <c r="J1922" i="1"/>
  <c r="I1922" i="1"/>
  <c r="G1922" i="1"/>
  <c r="E1922" i="1"/>
  <c r="D1922" i="1"/>
  <c r="C1922" i="1"/>
  <c r="N1921" i="1"/>
  <c r="N1922" i="1" s="1"/>
  <c r="H1921" i="1"/>
  <c r="O1921" i="1" s="1"/>
  <c r="M1920" i="1"/>
  <c r="L1920" i="1"/>
  <c r="K1920" i="1"/>
  <c r="J1920" i="1"/>
  <c r="I1920" i="1"/>
  <c r="H1920" i="1"/>
  <c r="G1920" i="1"/>
  <c r="E1920" i="1"/>
  <c r="D1920" i="1"/>
  <c r="C1920" i="1"/>
  <c r="N1919" i="1"/>
  <c r="N1920" i="1" s="1"/>
  <c r="H1919" i="1"/>
  <c r="O1919" i="1" s="1"/>
  <c r="N1918" i="1"/>
  <c r="O1918" i="1" s="1"/>
  <c r="H1918" i="1"/>
  <c r="D1801" i="1"/>
  <c r="E1800" i="1"/>
  <c r="D1800" i="1"/>
  <c r="C1800" i="1"/>
  <c r="C1801" i="1" s="1"/>
  <c r="E1799" i="1"/>
  <c r="F1799" i="1" s="1"/>
  <c r="E1798" i="1"/>
  <c r="F1798" i="1" s="1"/>
  <c r="E1607" i="1"/>
  <c r="D1607" i="1"/>
  <c r="C1607" i="1"/>
  <c r="E1606" i="1"/>
  <c r="F1605" i="1"/>
  <c r="E1605" i="1"/>
  <c r="E1483" i="1"/>
  <c r="D1483" i="1"/>
  <c r="D1484" i="1" s="1"/>
  <c r="C1483" i="1"/>
  <c r="E1482" i="1"/>
  <c r="E1481" i="1"/>
  <c r="E1343" i="1"/>
  <c r="D1343" i="1"/>
  <c r="D1344" i="1" s="1"/>
  <c r="C1343" i="1"/>
  <c r="E1342" i="1"/>
  <c r="E1341" i="1"/>
  <c r="AU1112" i="1"/>
  <c r="AV1110" i="1" s="1"/>
  <c r="AT1112" i="1"/>
  <c r="AS1112" i="1"/>
  <c r="AS1113" i="1" s="1"/>
  <c r="AN1112" i="1"/>
  <c r="AM1112" i="1"/>
  <c r="AL1112" i="1"/>
  <c r="AG1112" i="1"/>
  <c r="AF1112" i="1"/>
  <c r="AE1112" i="1"/>
  <c r="AE1113" i="1" s="1"/>
  <c r="Z1112" i="1"/>
  <c r="Y1112" i="1"/>
  <c r="Y1113" i="1" s="1"/>
  <c r="X1112" i="1"/>
  <c r="X1113" i="1" s="1"/>
  <c r="S1112" i="1"/>
  <c r="R1112" i="1"/>
  <c r="Q1112" i="1"/>
  <c r="Q1113" i="1" s="1"/>
  <c r="L1112" i="1"/>
  <c r="K1112" i="1"/>
  <c r="K1113" i="1" s="1"/>
  <c r="J1112" i="1"/>
  <c r="J1113" i="1" s="1"/>
  <c r="E1112" i="1"/>
  <c r="D1112" i="1"/>
  <c r="D1113" i="1" s="1"/>
  <c r="C1112" i="1"/>
  <c r="AU1111" i="1"/>
  <c r="AN1111" i="1"/>
  <c r="AG1111" i="1"/>
  <c r="AH1111" i="1" s="1"/>
  <c r="AA1111" i="1"/>
  <c r="Z1111" i="1"/>
  <c r="S1111" i="1"/>
  <c r="T1111" i="1" s="1"/>
  <c r="L1111" i="1"/>
  <c r="M1111" i="1" s="1"/>
  <c r="E1111" i="1"/>
  <c r="AU1110" i="1"/>
  <c r="AN1110" i="1"/>
  <c r="AG1110" i="1"/>
  <c r="AH1110" i="1" s="1"/>
  <c r="Z1110" i="1"/>
  <c r="AA1110" i="1" s="1"/>
  <c r="S1110" i="1"/>
  <c r="T1110" i="1" s="1"/>
  <c r="L1110" i="1"/>
  <c r="M1110" i="1" s="1"/>
  <c r="E1110" i="1"/>
  <c r="AU1095" i="1"/>
  <c r="AT1095" i="1"/>
  <c r="AT1096" i="1" s="1"/>
  <c r="AS1095" i="1"/>
  <c r="AS1096" i="1" s="1"/>
  <c r="AU1094" i="1"/>
  <c r="AU1093" i="1"/>
  <c r="AS1087" i="1"/>
  <c r="AU1086" i="1"/>
  <c r="AT1086" i="1"/>
  <c r="AS1086" i="1"/>
  <c r="AU1085" i="1"/>
  <c r="AU1084" i="1"/>
  <c r="AV1084" i="1" s="1"/>
  <c r="AU1077" i="1"/>
  <c r="AS1078" i="1" s="1"/>
  <c r="AT1077" i="1"/>
  <c r="AT1078" i="1" s="1"/>
  <c r="AS1077" i="1"/>
  <c r="AU1076" i="1"/>
  <c r="AU1075" i="1"/>
  <c r="AU1069" i="1"/>
  <c r="AV1066" i="1" s="1"/>
  <c r="AT1069" i="1"/>
  <c r="AS1069" i="1"/>
  <c r="AS1070" i="1" s="1"/>
  <c r="AU1068" i="1"/>
  <c r="AV1068" i="1" s="1"/>
  <c r="AU1066" i="1"/>
  <c r="AU1059" i="1"/>
  <c r="AT1059" i="1"/>
  <c r="AT1060" i="1" s="1"/>
  <c r="AS1059" i="1"/>
  <c r="AS1060" i="1" s="1"/>
  <c r="AU1058" i="1"/>
  <c r="AV1058" i="1" s="1"/>
  <c r="AU1057" i="1"/>
  <c r="AV1057" i="1" s="1"/>
  <c r="AT1051" i="1"/>
  <c r="AS1051" i="1"/>
  <c r="AU1050" i="1"/>
  <c r="AU1049" i="1"/>
  <c r="AU1048" i="1"/>
  <c r="AU1041" i="1"/>
  <c r="AT1041" i="1"/>
  <c r="AT1042" i="1" s="1"/>
  <c r="AS1041" i="1"/>
  <c r="AS1042" i="1" s="1"/>
  <c r="AU1040" i="1"/>
  <c r="AU1039" i="1"/>
  <c r="AU1032" i="1"/>
  <c r="AT1032" i="1"/>
  <c r="AT1033" i="1" s="1"/>
  <c r="AS1032" i="1"/>
  <c r="AS1033" i="1" s="1"/>
  <c r="AU1031" i="1"/>
  <c r="AV1031" i="1" s="1"/>
  <c r="AU1030" i="1"/>
  <c r="AV1030" i="1" s="1"/>
  <c r="AT1022" i="1"/>
  <c r="AU1021" i="1"/>
  <c r="AT1021" i="1"/>
  <c r="AS1021" i="1"/>
  <c r="AU1020" i="1"/>
  <c r="AU1018" i="1"/>
  <c r="AT1010" i="1"/>
  <c r="AS1010" i="1"/>
  <c r="AU1009" i="1"/>
  <c r="AU1008" i="1"/>
  <c r="AU1007" i="1"/>
  <c r="AU1001" i="1"/>
  <c r="AT1001" i="1"/>
  <c r="AT1002" i="1" s="1"/>
  <c r="AS1001" i="1"/>
  <c r="AU1000" i="1"/>
  <c r="AV1000" i="1" s="1"/>
  <c r="AU999" i="1"/>
  <c r="AV999" i="1" s="1"/>
  <c r="AU992" i="1"/>
  <c r="AT992" i="1"/>
  <c r="AS992" i="1"/>
  <c r="AU991" i="1"/>
  <c r="AU990" i="1"/>
  <c r="AV990" i="1" s="1"/>
  <c r="E953" i="1"/>
  <c r="D953" i="1"/>
  <c r="D954" i="1" s="1"/>
  <c r="C953" i="1"/>
  <c r="C954" i="1" s="1"/>
  <c r="E952" i="1"/>
  <c r="F952" i="1" s="1"/>
  <c r="E951" i="1"/>
  <c r="F951" i="1" s="1"/>
  <c r="E720" i="1"/>
  <c r="D720" i="1"/>
  <c r="D721" i="1" s="1"/>
  <c r="C720" i="1"/>
  <c r="C721" i="1" s="1"/>
  <c r="E719" i="1"/>
  <c r="F719" i="1" s="1"/>
  <c r="E718" i="1"/>
  <c r="F718" i="1" s="1"/>
  <c r="R513" i="1"/>
  <c r="S512" i="1"/>
  <c r="R512" i="1"/>
  <c r="Q512" i="1"/>
  <c r="L512" i="1"/>
  <c r="K512" i="1"/>
  <c r="J512" i="1"/>
  <c r="J513" i="1" s="1"/>
  <c r="E512" i="1"/>
  <c r="D512" i="1"/>
  <c r="C512" i="1"/>
  <c r="S511" i="1"/>
  <c r="L511" i="1"/>
  <c r="E511" i="1"/>
  <c r="S510" i="1"/>
  <c r="L510" i="1"/>
  <c r="M510" i="1" s="1"/>
  <c r="E510" i="1"/>
  <c r="F510" i="1" s="1"/>
  <c r="S498" i="1"/>
  <c r="R498" i="1"/>
  <c r="Q498" i="1"/>
  <c r="S497" i="1"/>
  <c r="T497" i="1" s="1"/>
  <c r="S496" i="1"/>
  <c r="S489" i="1"/>
  <c r="R489" i="1"/>
  <c r="R490" i="1" s="1"/>
  <c r="Q489" i="1"/>
  <c r="S488" i="1"/>
  <c r="S487" i="1"/>
  <c r="S481" i="1"/>
  <c r="R481" i="1"/>
  <c r="R482" i="1" s="1"/>
  <c r="Q481" i="1"/>
  <c r="Q482" i="1" s="1"/>
  <c r="S480" i="1"/>
  <c r="T480" i="1" s="1"/>
  <c r="S479" i="1"/>
  <c r="T479" i="1" s="1"/>
  <c r="S478" i="1"/>
  <c r="T478" i="1" s="1"/>
  <c r="R470" i="1"/>
  <c r="S469" i="1"/>
  <c r="R469" i="1"/>
  <c r="Q469" i="1"/>
  <c r="Q470" i="1" s="1"/>
  <c r="S468" i="1"/>
  <c r="T468" i="1" s="1"/>
  <c r="S466" i="1"/>
  <c r="T466" i="1" s="1"/>
  <c r="S457" i="1"/>
  <c r="R457" i="1"/>
  <c r="Q457" i="1"/>
  <c r="S456" i="1"/>
  <c r="T455" i="1"/>
  <c r="S455" i="1"/>
  <c r="AN387" i="1"/>
  <c r="AO386" i="1" s="1"/>
  <c r="AM387" i="1"/>
  <c r="AM388" i="1" s="1"/>
  <c r="AL387" i="1"/>
  <c r="AG387" i="1"/>
  <c r="AF387" i="1"/>
  <c r="AF388" i="1" s="1"/>
  <c r="AE387" i="1"/>
  <c r="AE388" i="1" s="1"/>
  <c r="Z387" i="1"/>
  <c r="AA385" i="1" s="1"/>
  <c r="Y387" i="1"/>
  <c r="X387" i="1"/>
  <c r="X388" i="1" s="1"/>
  <c r="S387" i="1"/>
  <c r="R387" i="1"/>
  <c r="Q387" i="1"/>
  <c r="L387" i="1"/>
  <c r="K387" i="1"/>
  <c r="K388" i="1" s="1"/>
  <c r="J387" i="1"/>
  <c r="J388" i="1" s="1"/>
  <c r="E387" i="1"/>
  <c r="D387" i="1"/>
  <c r="D388" i="1" s="1"/>
  <c r="C387" i="1"/>
  <c r="C388" i="1" s="1"/>
  <c r="AN386" i="1"/>
  <c r="AG386" i="1"/>
  <c r="AH386" i="1" s="1"/>
  <c r="Z386" i="1"/>
  <c r="S386" i="1"/>
  <c r="L386" i="1"/>
  <c r="M386" i="1" s="1"/>
  <c r="E386" i="1"/>
  <c r="F386" i="1" s="1"/>
  <c r="AN385" i="1"/>
  <c r="AG385" i="1"/>
  <c r="AH385" i="1" s="1"/>
  <c r="Z385" i="1"/>
  <c r="S385" i="1"/>
  <c r="L385" i="1"/>
  <c r="M385" i="1" s="1"/>
  <c r="E385" i="1"/>
  <c r="F385" i="1" s="1"/>
  <c r="AM378" i="1"/>
  <c r="AL378" i="1"/>
  <c r="AN377" i="1"/>
  <c r="AM377" i="1"/>
  <c r="AL377" i="1"/>
  <c r="AO376" i="1"/>
  <c r="AN376" i="1"/>
  <c r="AN375" i="1"/>
  <c r="AO375" i="1" s="1"/>
  <c r="AN367" i="1"/>
  <c r="AM367" i="1"/>
  <c r="AL367" i="1"/>
  <c r="AN366" i="1"/>
  <c r="AN365" i="1"/>
  <c r="AO365" i="1" s="1"/>
  <c r="AN359" i="1"/>
  <c r="AM359" i="1"/>
  <c r="AM360" i="1" s="1"/>
  <c r="AL359" i="1"/>
  <c r="AL360" i="1" s="1"/>
  <c r="AN358" i="1"/>
  <c r="AO358" i="1" s="1"/>
  <c r="AN356" i="1"/>
  <c r="AO356" i="1" s="1"/>
  <c r="AN348" i="1"/>
  <c r="AM348" i="1"/>
  <c r="AM349" i="1" s="1"/>
  <c r="AL348" i="1"/>
  <c r="AL349" i="1" s="1"/>
  <c r="AN347" i="1"/>
  <c r="AO347" i="1" s="1"/>
  <c r="AN345" i="1"/>
  <c r="AO345" i="1" s="1"/>
  <c r="AN338" i="1"/>
  <c r="AM338" i="1"/>
  <c r="AM339" i="1" s="1"/>
  <c r="AL338" i="1"/>
  <c r="AL339" i="1" s="1"/>
  <c r="AN337" i="1"/>
  <c r="AN335" i="1"/>
  <c r="AO335" i="1" s="1"/>
  <c r="AN328" i="1"/>
  <c r="AM328" i="1"/>
  <c r="AM329" i="1" s="1"/>
  <c r="AL328" i="1"/>
  <c r="AN327" i="1"/>
  <c r="AN326" i="1"/>
  <c r="AN318" i="1"/>
  <c r="AM318" i="1"/>
  <c r="AM319" i="1" s="1"/>
  <c r="AL318" i="1"/>
  <c r="AL319" i="1" s="1"/>
  <c r="AN317" i="1"/>
  <c r="AO317" i="1" s="1"/>
  <c r="AN316" i="1"/>
  <c r="AO316" i="1" s="1"/>
  <c r="AL307" i="1"/>
  <c r="AN306" i="1"/>
  <c r="AO304" i="1" s="1"/>
  <c r="AM306" i="1"/>
  <c r="AM307" i="1" s="1"/>
  <c r="AL306" i="1"/>
  <c r="AN305" i="1"/>
  <c r="AO305" i="1" s="1"/>
  <c r="AN303" i="1"/>
  <c r="AO303" i="1" s="1"/>
  <c r="AN294" i="1"/>
  <c r="AM294" i="1"/>
  <c r="AL294" i="1"/>
  <c r="AN293" i="1"/>
  <c r="AN292" i="1"/>
  <c r="AO292" i="1" s="1"/>
  <c r="AN286" i="1"/>
  <c r="AM286" i="1"/>
  <c r="AM287" i="1" s="1"/>
  <c r="AL286" i="1"/>
  <c r="AL287" i="1" s="1"/>
  <c r="AN285" i="1"/>
  <c r="AO285" i="1" s="1"/>
  <c r="AO284" i="1"/>
  <c r="AN283" i="1"/>
  <c r="AO283" i="1" s="1"/>
  <c r="AN276" i="1"/>
  <c r="AM276" i="1"/>
  <c r="AM277" i="1" s="1"/>
  <c r="AL276" i="1"/>
  <c r="AL277" i="1" s="1"/>
  <c r="AN275" i="1"/>
  <c r="AO275" i="1" s="1"/>
  <c r="AN274" i="1"/>
  <c r="AO274" i="1" s="1"/>
  <c r="AN268" i="1"/>
  <c r="AM268" i="1"/>
  <c r="AM269" i="1" s="1"/>
  <c r="AL268" i="1"/>
  <c r="AL269" i="1" s="1"/>
  <c r="AN267" i="1"/>
  <c r="AO267" i="1" s="1"/>
  <c r="AN265" i="1"/>
  <c r="AO265" i="1" s="1"/>
  <c r="AN258" i="1"/>
  <c r="AM258" i="1"/>
  <c r="AM259" i="1" s="1"/>
  <c r="AL258" i="1"/>
  <c r="AN257" i="1"/>
  <c r="AN256" i="1"/>
  <c r="AN250" i="1"/>
  <c r="AM250" i="1"/>
  <c r="AL250" i="1"/>
  <c r="AL251" i="1" s="1"/>
  <c r="AN249" i="1"/>
  <c r="AO249" i="1" s="1"/>
  <c r="AN248" i="1"/>
  <c r="AO248" i="1" s="1"/>
  <c r="AN247" i="1"/>
  <c r="AO247" i="1" s="1"/>
  <c r="AN241" i="1"/>
  <c r="AM241" i="1"/>
  <c r="AM242" i="1" s="1"/>
  <c r="AL241" i="1"/>
  <c r="AL242" i="1" s="1"/>
  <c r="AN240" i="1"/>
  <c r="AO240" i="1" s="1"/>
  <c r="AO239" i="1"/>
  <c r="AN239" i="1"/>
  <c r="AN238" i="1"/>
  <c r="AO238" i="1" s="1"/>
  <c r="Z148" i="1"/>
  <c r="Y148" i="1"/>
  <c r="Y149" i="1" s="1"/>
  <c r="X148" i="1"/>
  <c r="X149" i="1" s="1"/>
  <c r="S148" i="1"/>
  <c r="R148" i="1"/>
  <c r="R149" i="1" s="1"/>
  <c r="Q148" i="1"/>
  <c r="L148" i="1"/>
  <c r="K148" i="1"/>
  <c r="J148" i="1"/>
  <c r="E148" i="1"/>
  <c r="D148" i="1"/>
  <c r="D149" i="1" s="1"/>
  <c r="C148" i="1"/>
  <c r="C149" i="1" s="1"/>
  <c r="Z147" i="1"/>
  <c r="AA147" i="1" s="1"/>
  <c r="S147" i="1"/>
  <c r="T147" i="1" s="1"/>
  <c r="L147" i="1"/>
  <c r="M147" i="1" s="1"/>
  <c r="E147" i="1"/>
  <c r="F147" i="1" s="1"/>
  <c r="Z146" i="1"/>
  <c r="AA146" i="1" s="1"/>
  <c r="S146" i="1"/>
  <c r="T146" i="1" s="1"/>
  <c r="L146" i="1"/>
  <c r="E146" i="1"/>
  <c r="F146" i="1" s="1"/>
  <c r="Z136" i="1"/>
  <c r="Y136" i="1"/>
  <c r="Y137" i="1" s="1"/>
  <c r="X136" i="1"/>
  <c r="Z135" i="1"/>
  <c r="AA135" i="1" s="1"/>
  <c r="Z134" i="1"/>
  <c r="AA134" i="1" s="1"/>
  <c r="Z122" i="1"/>
  <c r="Y122" i="1"/>
  <c r="Y123" i="1" s="1"/>
  <c r="X122" i="1"/>
  <c r="X123" i="1" s="1"/>
  <c r="Z121" i="1"/>
  <c r="AA121" i="1" s="1"/>
  <c r="Z120" i="1"/>
  <c r="AA120" i="1" s="1"/>
  <c r="Z112" i="1"/>
  <c r="Y112" i="1"/>
  <c r="Y113" i="1" s="1"/>
  <c r="X112" i="1"/>
  <c r="X113" i="1" s="1"/>
  <c r="Z111" i="1"/>
  <c r="AA111" i="1" s="1"/>
  <c r="Z110" i="1"/>
  <c r="AA110" i="1" s="1"/>
  <c r="Z103" i="1"/>
  <c r="AA102" i="1" s="1"/>
  <c r="Y103" i="1"/>
  <c r="X103" i="1"/>
  <c r="Z102" i="1"/>
  <c r="Z101" i="1"/>
  <c r="Z94" i="1"/>
  <c r="Y94" i="1"/>
  <c r="Y95" i="1" s="1"/>
  <c r="X94" i="1"/>
  <c r="X95" i="1" s="1"/>
  <c r="Z93" i="1"/>
  <c r="AA93" i="1" s="1"/>
  <c r="Z92" i="1"/>
  <c r="AA92" i="1" s="1"/>
  <c r="Z85" i="1"/>
  <c r="Y85" i="1"/>
  <c r="Y86" i="1" s="1"/>
  <c r="X85" i="1"/>
  <c r="Z84" i="1"/>
  <c r="AA84" i="1" s="1"/>
  <c r="Z83" i="1"/>
  <c r="AA83" i="1" s="1"/>
  <c r="X75" i="1"/>
  <c r="Z74" i="1"/>
  <c r="Y74" i="1"/>
  <c r="X74" i="1"/>
  <c r="Z73" i="1"/>
  <c r="Z72" i="1"/>
  <c r="Z63" i="1"/>
  <c r="Y63" i="1"/>
  <c r="Y64" i="1" s="1"/>
  <c r="X63" i="1"/>
  <c r="Z62" i="1"/>
  <c r="Z61" i="1"/>
  <c r="Z55" i="1"/>
  <c r="Y55" i="1"/>
  <c r="Y56" i="1" s="1"/>
  <c r="X55" i="1"/>
  <c r="Z54" i="1"/>
  <c r="AA54" i="1" s="1"/>
  <c r="AA53" i="1"/>
  <c r="Z53" i="1"/>
  <c r="Z52" i="1"/>
  <c r="AA52" i="1" s="1"/>
  <c r="Z46" i="1"/>
  <c r="Y46" i="1"/>
  <c r="Y47" i="1" s="1"/>
  <c r="X46" i="1"/>
  <c r="X47" i="1" s="1"/>
  <c r="Z45" i="1"/>
  <c r="AA45" i="1" s="1"/>
  <c r="Z44" i="1"/>
  <c r="AA44" i="1" s="1"/>
  <c r="Z43" i="1"/>
  <c r="AA43" i="1" s="1"/>
  <c r="X37" i="1"/>
  <c r="Z36" i="1"/>
  <c r="Y36" i="1"/>
  <c r="X36" i="1"/>
  <c r="Z35" i="1"/>
  <c r="AA35" i="1" s="1"/>
  <c r="Z34" i="1"/>
  <c r="Z27" i="1"/>
  <c r="Y28" i="1" s="1"/>
  <c r="Y27" i="1"/>
  <c r="X27" i="1"/>
  <c r="Z26" i="1"/>
  <c r="Z24" i="1"/>
  <c r="O1920" i="1" l="1"/>
  <c r="AA34" i="1"/>
  <c r="X56" i="1"/>
  <c r="Q149" i="1"/>
  <c r="AM251" i="1"/>
  <c r="Y388" i="1"/>
  <c r="T496" i="1"/>
  <c r="T510" i="1"/>
  <c r="K513" i="1"/>
  <c r="AS1002" i="1"/>
  <c r="AV1018" i="1"/>
  <c r="AV1039" i="1"/>
  <c r="AT1070" i="1"/>
  <c r="AT1113" i="1"/>
  <c r="C1344" i="1"/>
  <c r="H1930" i="1"/>
  <c r="H1931" i="1" s="1"/>
  <c r="AA101" i="1"/>
  <c r="T385" i="1"/>
  <c r="T386" i="1"/>
  <c r="F511" i="1"/>
  <c r="O1922" i="1"/>
  <c r="AA72" i="1"/>
  <c r="AA24" i="1"/>
  <c r="AA73" i="1"/>
  <c r="AA386" i="1"/>
  <c r="T456" i="1"/>
  <c r="M511" i="1"/>
  <c r="Q513" i="1"/>
  <c r="AV991" i="1"/>
  <c r="AV1075" i="1"/>
  <c r="AV1085" i="1"/>
  <c r="AO1110" i="1"/>
  <c r="F1341" i="1"/>
  <c r="F1606" i="1"/>
  <c r="M146" i="1"/>
  <c r="AA26" i="1"/>
  <c r="Y37" i="1"/>
  <c r="AA61" i="1"/>
  <c r="X86" i="1"/>
  <c r="X104" i="1"/>
  <c r="J149" i="1"/>
  <c r="AO256" i="1"/>
  <c r="AO293" i="1"/>
  <c r="AO326" i="1"/>
  <c r="AO366" i="1"/>
  <c r="Q458" i="1"/>
  <c r="T487" i="1"/>
  <c r="Q499" i="1"/>
  <c r="T511" i="1"/>
  <c r="AS993" i="1"/>
  <c r="AV1093" i="1"/>
  <c r="AO1111" i="1"/>
  <c r="AF1113" i="1"/>
  <c r="F1481" i="1"/>
  <c r="C1608" i="1"/>
  <c r="N1928" i="1"/>
  <c r="N1929" i="1" s="1"/>
  <c r="X28" i="1"/>
  <c r="AA62" i="1"/>
  <c r="Y75" i="1"/>
  <c r="Y104" i="1"/>
  <c r="K149" i="1"/>
  <c r="AO257" i="1"/>
  <c r="AL295" i="1"/>
  <c r="AO327" i="1"/>
  <c r="AO337" i="1"/>
  <c r="AL368" i="1"/>
  <c r="Q388" i="1"/>
  <c r="R458" i="1"/>
  <c r="T488" i="1"/>
  <c r="R499" i="1"/>
  <c r="C513" i="1"/>
  <c r="AT993" i="1"/>
  <c r="AV1020" i="1"/>
  <c r="AV1076" i="1"/>
  <c r="AT1087" i="1"/>
  <c r="F1110" i="1"/>
  <c r="AV1111" i="1"/>
  <c r="R1113" i="1"/>
  <c r="AL1113" i="1"/>
  <c r="F1482" i="1"/>
  <c r="D1608" i="1"/>
  <c r="X64" i="1"/>
  <c r="X137" i="1"/>
  <c r="AL259" i="1"/>
  <c r="AM295" i="1"/>
  <c r="AL329" i="1"/>
  <c r="AM368" i="1"/>
  <c r="AO385" i="1"/>
  <c r="R388" i="1"/>
  <c r="AL388" i="1"/>
  <c r="Q490" i="1"/>
  <c r="D513" i="1"/>
  <c r="F1111" i="1"/>
  <c r="C1113" i="1"/>
  <c r="AM1113" i="1"/>
  <c r="C1484" i="1"/>
  <c r="O1930" i="1"/>
  <c r="O1931" i="1" s="1"/>
  <c r="AU1010" i="1"/>
  <c r="AV1040" i="1"/>
  <c r="AV1094" i="1"/>
  <c r="F1342" i="1"/>
  <c r="H1928" i="1"/>
  <c r="O1927" i="1"/>
  <c r="N1930" i="1"/>
  <c r="N1931" i="1" s="1"/>
  <c r="AS1022" i="1"/>
  <c r="H1922" i="1"/>
  <c r="O1926" i="1"/>
  <c r="AU1051" i="1"/>
  <c r="AS1052" i="1" s="1"/>
  <c r="AV1048" i="1" l="1"/>
  <c r="AS1011" i="1"/>
  <c r="AV1008" i="1"/>
  <c r="AV1009" i="1"/>
  <c r="AV1007" i="1"/>
  <c r="AV1050" i="1"/>
  <c r="AT1052" i="1"/>
  <c r="O1928" i="1"/>
  <c r="H1929" i="1"/>
  <c r="AV1049" i="1"/>
  <c r="AT1011" i="1"/>
  <c r="O1929" i="1" l="1"/>
</calcChain>
</file>

<file path=xl/sharedStrings.xml><?xml version="1.0" encoding="utf-8"?>
<sst xmlns="http://schemas.openxmlformats.org/spreadsheetml/2006/main" count="4976" uniqueCount="695">
  <si>
    <t>Supplementary Tables 3. Breakpoints used for each species-antimicrobial combination, MIC distribution and concordance analyses between BMD results and WGS results</t>
  </si>
  <si>
    <t>Legend:</t>
  </si>
  <si>
    <t>MIC-WGS concordance</t>
  </si>
  <si>
    <t>MIC-WGS discordance</t>
  </si>
  <si>
    <t>Phenotypic resistance</t>
  </si>
  <si>
    <t>Grey text: not analysed</t>
  </si>
  <si>
    <t>S: Susceptible, standard dosing regimen phenotype (EUCAST clinical breakpoints v12.0)</t>
  </si>
  <si>
    <t>I: Susceptible, increased exposure phenotype (EUCAST clinical breakpoints v12.0)</t>
  </si>
  <si>
    <t>R: Resistant phenotype (EUCAST clinical breakpoints v12.0)</t>
  </si>
  <si>
    <t>WT: Wild type isolate according to ECOFF (https://mic.eucast.org/, accessed February 2022)</t>
  </si>
  <si>
    <t>NWT: Non-wild type isolate according to ECOFF (https://mic.eucast.org/, accessed February 2022)</t>
  </si>
  <si>
    <t>MIC-S: S, I or WT phenotypes</t>
  </si>
  <si>
    <t>MIC-R: R or NWT phenotypes</t>
  </si>
  <si>
    <r>
      <t>WGS-S:</t>
    </r>
    <r>
      <rPr>
        <i/>
        <sz val="11"/>
        <rFont val="Calibri"/>
        <family val="2"/>
        <scheme val="minor"/>
      </rPr>
      <t xml:space="preserve"> in silico</t>
    </r>
    <r>
      <rPr>
        <sz val="11"/>
        <rFont val="Calibri"/>
        <family val="2"/>
        <scheme val="minor"/>
      </rPr>
      <t xml:space="preserve"> antibiogram susceptible, no AMR mechanisms detected</t>
    </r>
  </si>
  <si>
    <r>
      <t xml:space="preserve">WGS-R: </t>
    </r>
    <r>
      <rPr>
        <i/>
        <sz val="11"/>
        <rFont val="Calibri"/>
        <family val="2"/>
        <scheme val="minor"/>
      </rPr>
      <t>in silico</t>
    </r>
    <r>
      <rPr>
        <sz val="11"/>
        <rFont val="Calibri"/>
        <family val="2"/>
        <scheme val="minor"/>
      </rPr>
      <t xml:space="preserve"> antibiogram resistant, AMR mechanisms detected</t>
    </r>
  </si>
  <si>
    <t>Staphylococcus spp. (n=103)</t>
  </si>
  <si>
    <t>Staphylococcus aureus (n=89), Staphylococcus argenteus (n=1)</t>
  </si>
  <si>
    <t>Staphylococcus epidermidis (n=8)</t>
  </si>
  <si>
    <t>Other CoN Staphylococci (n=5)</t>
  </si>
  <si>
    <t>Staphylococcus lugdunensis (n=3), Staphylococcus hominis (n=1), Staphylococcus saprophyticus (n=1)</t>
  </si>
  <si>
    <t>Erythromycin (EUCAST CBP R&gt;2)</t>
  </si>
  <si>
    <t>Staphylococcus spp. - Erythromycin - total</t>
  </si>
  <si>
    <t>Phenotype</t>
  </si>
  <si>
    <t>MIC (mg/L)</t>
  </si>
  <si>
    <t>WGS-S</t>
  </si>
  <si>
    <t>WGS-R</t>
  </si>
  <si>
    <t>Genes</t>
  </si>
  <si>
    <t>Total</t>
  </si>
  <si>
    <t>Percentage</t>
  </si>
  <si>
    <t>S</t>
  </si>
  <si>
    <t>≤ 0,25</t>
  </si>
  <si>
    <t>I</t>
  </si>
  <si>
    <t>R</t>
  </si>
  <si>
    <t>&gt; 4</t>
  </si>
  <si>
    <t>erm(C) (n=1), msr(A) (n=1)</t>
  </si>
  <si>
    <t>erm(C) (n=2); erm(A) (n=1); msr(A) and mph(C) (n=1)</t>
  </si>
  <si>
    <t>Clindamycin (EUCAST CBP R&gt;0,25) and D test (in duplicate)</t>
  </si>
  <si>
    <t>Clindamycin (EUCAST CBP R&gt;0,25)</t>
  </si>
  <si>
    <t>Staphylococcus spp. - Clindamycin - total</t>
  </si>
  <si>
    <t>≤ 0,12</t>
  </si>
  <si>
    <t>erm(C) and D test positive (n=1)</t>
  </si>
  <si>
    <t>erm(C) (n=1)</t>
  </si>
  <si>
    <t>&gt; 1</t>
  </si>
  <si>
    <t>erm(A) (n=1); erm(C) (n=1)</t>
  </si>
  <si>
    <t>Tetracycline (EUCAST CBP R&gt;2)</t>
  </si>
  <si>
    <t>Staphylococcus spp. - Tetracycline - total</t>
  </si>
  <si>
    <t>≤ 0,5</t>
  </si>
  <si>
    <t>tet(K) (n=1)</t>
  </si>
  <si>
    <t>tet(K) (n=1), tet(L) (n=1), tet(M) (n=1)</t>
  </si>
  <si>
    <t>Trimethoprim/sulfamethoxazole (EUCAST CBP R&gt;4)</t>
  </si>
  <si>
    <t>Staphylococcus spp. - Trimethoprim/sulfamethoxazole - total</t>
  </si>
  <si>
    <t>≤ 1/19</t>
  </si>
  <si>
    <t>dfrG (n=3); dfrB (p.H31N, p.F99Y) (n=1)</t>
  </si>
  <si>
    <t>2/38</t>
  </si>
  <si>
    <t>dfrG (n=1)</t>
  </si>
  <si>
    <t>4/76</t>
  </si>
  <si>
    <t>8/152</t>
  </si>
  <si>
    <t>&gt; 8/152</t>
  </si>
  <si>
    <t>Gentamicin (EUCAST CBP R&gt;2)</t>
  </si>
  <si>
    <t>Staphylococcus spp. - Gentamicin - total</t>
  </si>
  <si>
    <t>aac(6')-aph(2'') (n=1)</t>
  </si>
  <si>
    <t>&gt;8</t>
  </si>
  <si>
    <t>aac(6')-aph(2'') (n=4)</t>
  </si>
  <si>
    <t>Tobramycin (EUCAST CBP R&gt;2)</t>
  </si>
  <si>
    <t>Staphylococcus spp. - Tobramycin - total</t>
  </si>
  <si>
    <t>aadD (n=1)</t>
  </si>
  <si>
    <t>aac(6')-aph(2'') (n=3)</t>
  </si>
  <si>
    <t>aadD (n=2)</t>
  </si>
  <si>
    <t>Fusidic acid (EUCAST CBP R&gt;1)</t>
  </si>
  <si>
    <t>Fusidic acid (EUCAST CBP R&gt;1) - Except S. saprophyticus (intrinsic R)</t>
  </si>
  <si>
    <t>Staphylococcus spp. - Fusidic acid - total</t>
  </si>
  <si>
    <t>fusC (n=1)</t>
  </si>
  <si>
    <t>fusA (p.M651I) (n=1)</t>
  </si>
  <si>
    <t>fusC (n=1); fusA (p.V90I) (n=1)</t>
  </si>
  <si>
    <t>fusC (n=5), fus(B) (n=1); fusA (p.T326I) (n=1); fusA (p.L461K) (n=1); fusA (p.L461S) (n=1)</t>
  </si>
  <si>
    <t>fus(B) (n=7)</t>
  </si>
  <si>
    <t>fus(C)</t>
  </si>
  <si>
    <t>Cefoxitin (EUCAST CBP R&gt;4) and cefoxitin screen (6 mg/L)</t>
  </si>
  <si>
    <t>Cefoxitin - No EUCAST CBP nor ECOFF (poor predictor)- not analysed</t>
  </si>
  <si>
    <t>Cefoxitin (EUCAST CBP R&gt;4 for S. lugdunensis and R&gt;8 for S. saprophyticus) - Except S. hominis (No clinical breakpoint)</t>
  </si>
  <si>
    <t>Staphylococcus spp. - Cefoxitin - total</t>
  </si>
  <si>
    <t>Predicted methicillin-S</t>
  </si>
  <si>
    <t>≤ 1</t>
  </si>
  <si>
    <t>Predicted methicillin-R</t>
  </si>
  <si>
    <t>mecA and cefoxitin screen negative (n=1)</t>
  </si>
  <si>
    <t>mec(A) (n=1)</t>
  </si>
  <si>
    <t>Predicted methicillin-R (S. lugdunensis)</t>
  </si>
  <si>
    <t>&gt; 8</t>
  </si>
  <si>
    <t>mecA and cefoxitin screen positive (n=2)</t>
  </si>
  <si>
    <t>mec(A) (n=3)</t>
  </si>
  <si>
    <t>Predicted methicillin-R (S. saprophyticus)</t>
  </si>
  <si>
    <t>Linezolid (EUCAST CBP R&gt;4)</t>
  </si>
  <si>
    <t>Staphylococcus spp. - Linezolid - total</t>
  </si>
  <si>
    <t>≤ 2</t>
  </si>
  <si>
    <t>&gt; 16</t>
  </si>
  <si>
    <t>Teicoplanin (EUCAST CBP R&gt;2)</t>
  </si>
  <si>
    <t>Teicoplanin (EUCAST CBP R&gt;4)</t>
  </si>
  <si>
    <t>Staphylococcus spp. - Teicoplanin - total</t>
  </si>
  <si>
    <t>Vancomycin (EUCAST CBP R&gt;2)</t>
  </si>
  <si>
    <t>Vancomycin (EUCAST CBP R&gt;4)</t>
  </si>
  <si>
    <t>Staphylococcus spp. - Vancomycin - total</t>
  </si>
  <si>
    <t>&gt; 32</t>
  </si>
  <si>
    <t>Staphylococcus spp. - Rifampicin - total</t>
  </si>
  <si>
    <t>≤ 0,03</t>
  </si>
  <si>
    <t>&gt;1</t>
  </si>
  <si>
    <t>Staphylococcus aureus - all antimicrobials - total</t>
  </si>
  <si>
    <t>Staphylococcus epidermidis - all antimicrobials - total</t>
  </si>
  <si>
    <t>Other CoN staphylococci - all antimicrobials - total</t>
  </si>
  <si>
    <t>Staphylococcus spp. - all antimicrobials - total</t>
  </si>
  <si>
    <t>MIC-S</t>
  </si>
  <si>
    <t>MIC-R</t>
  </si>
  <si>
    <t>Antimicrobials present on MIC panel, considered for resistance epidemiology but not compared (not in ResFinder 4.0 database):</t>
  </si>
  <si>
    <t>Yellow cell: phenotypic resistance</t>
  </si>
  <si>
    <t>Daptomycin</t>
  </si>
  <si>
    <t>Staphylococcus aureus (n=90)</t>
  </si>
  <si>
    <t>Other CoN staphylococci (n=5)</t>
  </si>
  <si>
    <t>EUCAST CBP R&gt;1</t>
  </si>
  <si>
    <t>Nr. of isolates</t>
  </si>
  <si>
    <t>≤0,5</t>
  </si>
  <si>
    <t>&gt;4</t>
  </si>
  <si>
    <t>Levofloxacin</t>
  </si>
  <si>
    <t>Moxifloxacin</t>
  </si>
  <si>
    <t>EUCAST CBP R&gt;0.25</t>
  </si>
  <si>
    <t>≤0,25</t>
  </si>
  <si>
    <t>&gt;2</t>
  </si>
  <si>
    <t>Ceftaroline</t>
  </si>
  <si>
    <t>(indications other than pneumonia)</t>
  </si>
  <si>
    <t>Staphylococcus epidermidis (n=8) - not analysed</t>
  </si>
  <si>
    <t>Other CoN staphylococci (n=5) - not analysed</t>
  </si>
  <si>
    <t>EUCAST CBP R&gt;2</t>
  </si>
  <si>
    <t>No clinical breakpoint</t>
  </si>
  <si>
    <t>Antimicrobials present on MIC panel but not analyzed:</t>
  </si>
  <si>
    <t>Empty cell: no genes detected by ResFinder 4.0 database (when applicable)</t>
  </si>
  <si>
    <t>Mupirocin</t>
  </si>
  <si>
    <t>mupA (n=1)</t>
  </si>
  <si>
    <t>Norfloxacin</t>
  </si>
  <si>
    <t>Not in ResFinder 4.0 database. Screen only</t>
  </si>
  <si>
    <t>ECOFF NWT&gt;4</t>
  </si>
  <si>
    <t>≤4</t>
  </si>
  <si>
    <t>&gt;16</t>
  </si>
  <si>
    <t>Telavancin</t>
  </si>
  <si>
    <t>Not in ResFinder 4.0 database. EUCAST CBP R&gt;0.125 (only MRSA). No clinical breakpoint for others</t>
  </si>
  <si>
    <t>≤0,03</t>
  </si>
  <si>
    <t>Streptococcus spp. (n=55)</t>
  </si>
  <si>
    <t>Streptococcus agalactiae (n=23)</t>
  </si>
  <si>
    <t>Streptococcus dygalactiae (n=12)</t>
  </si>
  <si>
    <t>Streptococcus pyogenes (n=9)</t>
  </si>
  <si>
    <t>Streptococcus pneumoniae (n=7)</t>
  </si>
  <si>
    <t>Viridans streptococci (n=4)</t>
  </si>
  <si>
    <t>S. oralis (n=1), S. gordonii (n=1), S. mitis (n=1), Streptococcus sp. (n=1)</t>
  </si>
  <si>
    <t>Erythromycin (EUCAST CBP R&gt;0,5)</t>
  </si>
  <si>
    <t>Erythromycin - No clinical breakpoint - not analysed</t>
  </si>
  <si>
    <t>Streptococcus spp. - Erythromycin - total</t>
  </si>
  <si>
    <t>mre(A) (n=15)</t>
  </si>
  <si>
    <t>mre(A), msr(D), mef(A) (n=1)</t>
  </si>
  <si>
    <t>mre(A) and erm(A) (n=1); mre(A), msr(D) and mef(A) (n=1)</t>
  </si>
  <si>
    <t>msr(D), mef(A) (n=1)</t>
  </si>
  <si>
    <t>&gt; 2</t>
  </si>
  <si>
    <t>mre(A) and erm(B) (n=3); mre(A) and erm(A) (n=2); mre(A), msr(D) and mef(A) (n=1)</t>
  </si>
  <si>
    <t>erm(B) (n=1)</t>
  </si>
  <si>
    <t>Azithromycin (EUCAST CBP R&gt;0,5)</t>
  </si>
  <si>
    <t>Azithromycin -No clinical breakpoint - not analysed</t>
  </si>
  <si>
    <t>Streptococcus spp. - Azithromycin - total</t>
  </si>
  <si>
    <t>mre(A) and erm(B) (n=3); mre(A) and erm(A) (n=3); mre(A), msr(D) and mef(A) (n=2)</t>
  </si>
  <si>
    <t>Clindamycin (EUCAST CBP R&gt;0,5)</t>
  </si>
  <si>
    <t>Streptococcus spp. - Clindamycin - total</t>
  </si>
  <si>
    <t>erm(A) (n=2)</t>
  </si>
  <si>
    <t>lnu(B) and lsa(E) (n=1)</t>
  </si>
  <si>
    <t>erm(B) (n=3); erm(A) (n=1)</t>
  </si>
  <si>
    <t>Tetracycline - No clinical breakpoint - not analysed</t>
  </si>
  <si>
    <t>Streptococcus spp. - Tetracycline - total</t>
  </si>
  <si>
    <t>tet(M) (n=3); tet(O) (n=1)</t>
  </si>
  <si>
    <t>tet(M) and tet(L) (n=1)</t>
  </si>
  <si>
    <t>tet(M) (n=1)</t>
  </si>
  <si>
    <t>tet(M) (n=12); tet(O) (n=2)</t>
  </si>
  <si>
    <t>Tigecycline (EUCAST CBP R&gt;0,125)</t>
  </si>
  <si>
    <t>Tigecycline - No clinical breakpoint - not analysed</t>
  </si>
  <si>
    <t>Streptococcus spp. - Tigecycline - total</t>
  </si>
  <si>
    <t>≤ 0,015</t>
  </si>
  <si>
    <t>&gt; 0,12</t>
  </si>
  <si>
    <t>Trimethoprim/sulfamethoxazole (EUCAST CBP R&gt;2)</t>
  </si>
  <si>
    <t>Trimethoprim/sulfamethoxazole - No clinical breakpoint - not analysed</t>
  </si>
  <si>
    <t>Streptococcus spp. - Trimethoprim/sulfamethoxazole - total</t>
  </si>
  <si>
    <t>≤ 0,5/9,5</t>
  </si>
  <si>
    <t>1/19</t>
  </si>
  <si>
    <t>&gt; 4/76</t>
  </si>
  <si>
    <t>Chloramphenicol (EUCAST CBP R&gt;8)</t>
  </si>
  <si>
    <t>(indications other than meningitis)</t>
  </si>
  <si>
    <t>Chloramphenicol - No clinical breakpoint - not analysed</t>
  </si>
  <si>
    <t>Streptococcus spp. - Chloramphenicol - total</t>
  </si>
  <si>
    <t>Penicillin (EUCAST CBP R&gt;0,25)</t>
  </si>
  <si>
    <t>Penicillin (EUCAST CBP R&gt;2)</t>
  </si>
  <si>
    <t>Streptococcus spp. - Penicillin - total</t>
  </si>
  <si>
    <t>Linezolid (EUCAST CBP R&gt;2)</t>
  </si>
  <si>
    <t>Linezolid - No clinical breakpoint - not analysed</t>
  </si>
  <si>
    <t>Streptococcus spp. - Linezolid - total</t>
  </si>
  <si>
    <t>Streptococcus spp. - Vancomycin - total</t>
  </si>
  <si>
    <t>Ceftriaxone - No clinical breakpoint- not analysed</t>
  </si>
  <si>
    <t>Ceftriaxone (EUCAST CBP R&gt;2)</t>
  </si>
  <si>
    <t>Ceftriaxone (EUCAST CBP R&gt;0,5)</t>
  </si>
  <si>
    <t>Streptococcus spp. - Ceftriaxone - total</t>
  </si>
  <si>
    <t>≤0,12</t>
  </si>
  <si>
    <t>Cefotaxime - No clinical breakpoint- not analysed</t>
  </si>
  <si>
    <t>Cefotaxime (EUCAST CBP R&gt;2)</t>
  </si>
  <si>
    <t>Cefotaxime (EUCAST CBP R&gt;0,5)</t>
  </si>
  <si>
    <t>Streptococcus spp. - Cefotaxime - total</t>
  </si>
  <si>
    <t>Cefepime - No clinical breakpoint- not analysed</t>
  </si>
  <si>
    <t>Cefepime (EUCAST CBP R&gt;2)</t>
  </si>
  <si>
    <t>Cefepime (EUCAST CBP R&gt;0,5)</t>
  </si>
  <si>
    <t>Streptococcus spp. - Cefepime - total</t>
  </si>
  <si>
    <t>Streptococcus spp. - Ertapenem - total</t>
  </si>
  <si>
    <t>Ertapenem - No clinical breakpoint- not analysed</t>
  </si>
  <si>
    <t>Ertapenem (EUCAST CBP R&gt;0,5)</t>
  </si>
  <si>
    <t>Meropenem - No clinical breakpoint - not analysed</t>
  </si>
  <si>
    <t>Meropenem (EUCAST CBP R&gt;2)</t>
  </si>
  <si>
    <t>Streptococcus spp. - Meropenem - total</t>
  </si>
  <si>
    <t xml:space="preserve"> Streptococcus agalactiae - all antimicrobials - total</t>
  </si>
  <si>
    <t xml:space="preserve"> Streptococcus dysgalactiae - all antimicrobials </t>
  </si>
  <si>
    <t xml:space="preserve"> Streptococcus pyogenes - all antimicrobials - total</t>
  </si>
  <si>
    <t xml:space="preserve"> Streptococcus pneumoniae - all antimicrobials  - total</t>
  </si>
  <si>
    <t xml:space="preserve"> Viridans group streptococci - all antimicrobials  - total</t>
  </si>
  <si>
    <t>Streptococcus spp. - all antimicrobials - total</t>
  </si>
  <si>
    <t>No clinical breakpoint - not analysed</t>
  </si>
  <si>
    <t>≤0,06</t>
  </si>
  <si>
    <t>Cefuroxime</t>
  </si>
  <si>
    <t>Out of range (EUCAST CBP S&lt;=0,25 (oral). Not in ResFinder 4.0 database</t>
  </si>
  <si>
    <t>Streptococcus agalactiae (n=23) - not analysed</t>
  </si>
  <si>
    <t>Streptococcus dygalactiae (n=12) - not analysed</t>
  </si>
  <si>
    <t>Streptococcus pyogenes (n=9) - not analysed</t>
  </si>
  <si>
    <t>EUCAST CBP S&lt;=0,25 (oral= and S&lt;=0,5 (iv)</t>
  </si>
  <si>
    <t>EUCAST CBP S&lt;=0,5 (iv)</t>
  </si>
  <si>
    <t>Out of range (EUCAST CBP R&gt;0.5; No clinical breakpoint for viridans). Not in ResFinder 4.0 database</t>
  </si>
  <si>
    <t>≤1</t>
  </si>
  <si>
    <t>Amoxicillin/Clavulanic acid</t>
  </si>
  <si>
    <t>NA; no B-lactamase production</t>
  </si>
  <si>
    <t>≤2</t>
  </si>
  <si>
    <t>Enterococcus spp. (n=32)</t>
  </si>
  <si>
    <t>Enterococcus faecalis (n=23)</t>
  </si>
  <si>
    <t>Enterococcus faecium (n=9)</t>
  </si>
  <si>
    <t>Tigecycline (EUCAST CBP R&gt;0,25)</t>
  </si>
  <si>
    <t>Enterococcus spp. - Tigecycline - total</t>
  </si>
  <si>
    <t>&gt; 0,5</t>
  </si>
  <si>
    <t>Ampicillin (EUCAST CBP R&gt;8)</t>
  </si>
  <si>
    <t>Enterococcus spp. - Ampicillin - total</t>
  </si>
  <si>
    <r>
      <rPr>
        <sz val="11"/>
        <color theme="1"/>
        <rFont val="Calibri"/>
        <family val="2"/>
      </rPr>
      <t>≤</t>
    </r>
    <r>
      <rPr>
        <sz val="8.8000000000000007"/>
        <color theme="1"/>
        <rFont val="Calibri"/>
        <family val="2"/>
      </rPr>
      <t xml:space="preserve"> </t>
    </r>
    <r>
      <rPr>
        <sz val="11"/>
        <color theme="1"/>
        <rFont val="Calibri"/>
        <family val="2"/>
        <scheme val="minor"/>
      </rPr>
      <t>0,12</t>
    </r>
  </si>
  <si>
    <r>
      <rPr>
        <sz val="11"/>
        <rFont val="Calibri"/>
        <family val="2"/>
      </rPr>
      <t>≤</t>
    </r>
    <r>
      <rPr>
        <sz val="8.8000000000000007"/>
        <rFont val="Calibri"/>
        <family val="2"/>
      </rPr>
      <t xml:space="preserve"> </t>
    </r>
    <r>
      <rPr>
        <sz val="11"/>
        <rFont val="Calibri"/>
        <family val="2"/>
        <scheme val="minor"/>
      </rPr>
      <t>0,12</t>
    </r>
  </si>
  <si>
    <t>pbp5 (p.T324A), pbp5 (p.T172A), pbp5 (p.S27G), pbp5 (p.L177I), pbp5 (p.M485A), pbp5 (p.R34Q), pbp5 (p.E100Q), pbp5 (p.E629V), pbp5 (p.A216S), pbp5 (p.A499T), pbp5 (p.N496K), pbp5 (p.E85D), pbp5 (p.V24A), pbp5 (p.D204G), pbp5 (p.A68T), pbp5 (p.P667S), pbp5 (p.K144Q), pbp5 (p.E525D), pbp5 (p.G66E) (n=9=</t>
  </si>
  <si>
    <t>Quinupristin/dalfopristin - intrinsic resistance - not analysed</t>
  </si>
  <si>
    <t>Quinupristin/dalfopristin (EUCAST CBP R&gt;4)</t>
  </si>
  <si>
    <t>Enterococcus spp. - Quinupristin/dalfopristin - total</t>
  </si>
  <si>
    <t>erm(T), msr(C) and lsa(E) (n=1)</t>
  </si>
  <si>
    <t>erm(B) (n=7)</t>
  </si>
  <si>
    <t>only erm(T) and msr(C), no dalfopristin AMR</t>
  </si>
  <si>
    <t>Enterococcus spp. - Linezolid - total</t>
  </si>
  <si>
    <t>Enterococcus spp. - Vancomycin - total</t>
  </si>
  <si>
    <t>Enterococcus faecalis - all antimicrobials - total</t>
  </si>
  <si>
    <t>Enterococcus faecium - all antimicrobials - total</t>
  </si>
  <si>
    <t>Enterococcus spp. - all antimicrobials - total</t>
  </si>
  <si>
    <t>(uncomplicated UTI only)</t>
  </si>
  <si>
    <t>EUCAST CBP R&gt;4</t>
  </si>
  <si>
    <t>Nitrofurantoin</t>
  </si>
  <si>
    <t>Enterococcus faecium (n=9) - not analysed</t>
  </si>
  <si>
    <t>EUCAST CBP R&gt;64</t>
  </si>
  <si>
    <t>≤32</t>
  </si>
  <si>
    <t>&gt;64</t>
  </si>
  <si>
    <t>Erythromycin</t>
  </si>
  <si>
    <t>No clinical breakpoint. Poor target for therapy.</t>
  </si>
  <si>
    <t>Breakpoints</t>
  </si>
  <si>
    <t>msr(C) (n=1)</t>
  </si>
  <si>
    <t>erm(B) and msr(C) (n=6); erm(T) and msr(C) (n=2)</t>
  </si>
  <si>
    <t>Tetracycline</t>
  </si>
  <si>
    <t>tet(M) (n=13); tet(S) (n=1)</t>
  </si>
  <si>
    <t>tet(L (n=2)</t>
  </si>
  <si>
    <t>Rifampicin</t>
  </si>
  <si>
    <t>Clindamycin</t>
  </si>
  <si>
    <t>Intrinsic resistance</t>
  </si>
  <si>
    <t>lsa(A) (n=16); lsa(A) and erm(B) (n=7)</t>
  </si>
  <si>
    <t>erm(B) (n=6); erm(T) (n=1); erm(T), lsa(E) and lnu(B) (n=1); None (n=1)</t>
  </si>
  <si>
    <t>Cefoxitin (screen 6 mg/L)</t>
  </si>
  <si>
    <t>6 mg/L</t>
  </si>
  <si>
    <t>Trimethoprim/sufamethoxazole</t>
  </si>
  <si>
    <t>dfrG  (n=1)</t>
  </si>
  <si>
    <t>dfrG  (n=2)</t>
  </si>
  <si>
    <t>dfrG  (n=8)</t>
  </si>
  <si>
    <t>Ciprofloxacin</t>
  </si>
  <si>
    <t>Out of range. EUCAST CBP R&gt;4</t>
  </si>
  <si>
    <t>gyrA (p.S83Y), parC (p.S80I) (n=9)</t>
  </si>
  <si>
    <t>Chloramphenicol</t>
  </si>
  <si>
    <t>No clinical breakpoint.</t>
  </si>
  <si>
    <t>cat (n=1)</t>
  </si>
  <si>
    <t>Gentamicin</t>
  </si>
  <si>
    <t>Out of range. EUCAST CBP R&gt;128</t>
  </si>
  <si>
    <t>≤ 500</t>
  </si>
  <si>
    <t>aac(6')-aph(2'') (n=2)</t>
  </si>
  <si>
    <t>&gt; 500</t>
  </si>
  <si>
    <t>aph(2'')-Ia, aac(6')-aph(2'') and aac(6')-Ii (n=4); aph(2'')-If and aac(6')-Ii (n=1); aac(6')-Ii (n=1)</t>
  </si>
  <si>
    <t>Streptomycin</t>
  </si>
  <si>
    <t>Out of range. EUCAST CBP R&gt;512</t>
  </si>
  <si>
    <t>≤ 1000</t>
  </si>
  <si>
    <t>ant(6)-Ia and aac(6')-aph(2'') (n=1)</t>
  </si>
  <si>
    <t>&gt; 1000</t>
  </si>
  <si>
    <t>ant(6)-Ia (n=4); ant(6)-Ia, aac(6')-aph(2'') and str (n=1)</t>
  </si>
  <si>
    <t>aac(6')-aph(2'') and ant(6)-Ia (n=4); ant(6)-Ia (n=2)</t>
  </si>
  <si>
    <t>Oxacillin/2%NaCl</t>
  </si>
  <si>
    <t>No clinical breakpoint. Not on ResFinder 4.0 database</t>
  </si>
  <si>
    <t>Not applicable - only for HLAR</t>
  </si>
  <si>
    <t>aac(6')-Ii and aac(6')-aph(2'') (n=1)</t>
  </si>
  <si>
    <t>aac(6')-Ii (n=1)</t>
  </si>
  <si>
    <t>None (n=6); aac(6')-aph(2'') (n=2)</t>
  </si>
  <si>
    <t>aac(6')-Ii, aph(2'')-Ia and aac(6')-aph(2'') (n=4); aac(6')-Ii and aph(2'')-If (n=1); aac(6')-Ii (n=1)</t>
  </si>
  <si>
    <t>Penicillin</t>
  </si>
  <si>
    <t>No clinical breakpoint. Profile =ampicillin</t>
  </si>
  <si>
    <t>Aerococcus spp. (n=5)</t>
  </si>
  <si>
    <t>Aerococcus urinae (n=3), Aerococcus sanguinicola (n=1), Aerococcus spp. (n=1)</t>
  </si>
  <si>
    <t>Penicillin (EUCAST CBP R&gt;0,125)</t>
  </si>
  <si>
    <t>Meropenem (EUCAST CBP R&gt;0,25)</t>
  </si>
  <si>
    <t>Vancomycin (EUCAST CBP R&gt;1)</t>
  </si>
  <si>
    <t>Aerococcus spp. - all antimicrobials - total</t>
  </si>
  <si>
    <r>
      <t xml:space="preserve">Levofloxacin </t>
    </r>
    <r>
      <rPr>
        <i/>
        <sz val="11"/>
        <color theme="1"/>
        <rFont val="Calibri"/>
        <family val="2"/>
        <scheme val="minor"/>
      </rPr>
      <t>(uncomplicated UTI only)</t>
    </r>
  </si>
  <si>
    <t>Ceftriaxone</t>
  </si>
  <si>
    <t>Cefotaxime</t>
  </si>
  <si>
    <t>Cefepime</t>
  </si>
  <si>
    <t>Ertapenem</t>
  </si>
  <si>
    <t>Azithromycin</t>
  </si>
  <si>
    <t>Tigecycline</t>
  </si>
  <si>
    <t>Linezolid</t>
  </si>
  <si>
    <t>Corynebacterium spp. (n=3)</t>
  </si>
  <si>
    <t>Corynebacterium striatum (n=2), Corynebacterium sp. (n=1)</t>
  </si>
  <si>
    <t>Penicillin (EUCAST CBP R&gt;0.125)</t>
  </si>
  <si>
    <t>≤ 0.06</t>
  </si>
  <si>
    <t>0.12</t>
  </si>
  <si>
    <t>0.25</t>
  </si>
  <si>
    <t>0.5</t>
  </si>
  <si>
    <t>Ciprofloxacin (EUCAST CBP R&gt;1)</t>
  </si>
  <si>
    <t>Clindamycin (EUCAST CBP R&gt;0.5)</t>
  </si>
  <si>
    <t>≤ 0.5</t>
  </si>
  <si>
    <t>erm(X) and D test positive (n=1)</t>
  </si>
  <si>
    <t>tet(W) (n=1)</t>
  </si>
  <si>
    <t>≤ 0.25</t>
  </si>
  <si>
    <t>&gt;32</t>
  </si>
  <si>
    <t>Rifampicin (EUCAST CBP R&gt;0,06)</t>
  </si>
  <si>
    <t>S (&lt;=0.06) or I (0.12-0.5)</t>
  </si>
  <si>
    <t>Corynebacterium spp. - all antimicrobials - total</t>
  </si>
  <si>
    <t>EUCAST CBP R&gt;0,5</t>
  </si>
  <si>
    <t>Empty cell: zero or no genes detected by ResFinder 4.0 database (when applicable)</t>
  </si>
  <si>
    <t>Antimicrobial</t>
  </si>
  <si>
    <t>Ampicillin</t>
  </si>
  <si>
    <t>Cefoxitin Screen</t>
  </si>
  <si>
    <t>Gentamycin 500</t>
  </si>
  <si>
    <t>Streptomycin 1000</t>
  </si>
  <si>
    <t>Quinupristin/dalfopristin</t>
  </si>
  <si>
    <t>Range on MIC panel</t>
  </si>
  <si>
    <t>≤0,12 - &gt;8</t>
  </si>
  <si>
    <t>6 mg/L, Pos/Neg</t>
  </si>
  <si>
    <t>≤0,25 - &gt;4</t>
  </si>
  <si>
    <t>≤0,5 - &gt;4</t>
  </si>
  <si>
    <t>≤2 - &gt;16</t>
  </si>
  <si>
    <t>≤0,03 - &gt;0,5</t>
  </si>
  <si>
    <t>Pos/Neg</t>
  </si>
  <si>
    <t>≤32 - &gt;64</t>
  </si>
  <si>
    <t>Breakpoint</t>
  </si>
  <si>
    <t>MIC results and genes detected</t>
  </si>
  <si>
    <t>Neg</t>
  </si>
  <si>
    <t>&lt;=0,25</t>
  </si>
  <si>
    <t>&lt;=0,5</t>
  </si>
  <si>
    <t>&lt;=0,5/9,5</t>
  </si>
  <si>
    <t>&lt;=2</t>
  </si>
  <si>
    <t>&lt;=0,03</t>
  </si>
  <si>
    <t>None</t>
  </si>
  <si>
    <t>Pos</t>
  </si>
  <si>
    <t>&gt;4/76</t>
  </si>
  <si>
    <t>erm(X) (erm(X)_X51472)</t>
  </si>
  <si>
    <t>cmx (cmx_U85507)</t>
  </si>
  <si>
    <t>aph(3'')-Ib (aph(3'')-Ib_AF321551), aph(3'')-Ib (aph(3'')-Ib_AF321550), aph(3'')-Ib (aph(3'')-Ib_AF313472), aph(6)-Id (aph(6)-Id_M28829), aph(3'')-Ib (aph(3'')-Ib_AF024602)</t>
  </si>
  <si>
    <t>erm(X) (erm(X)_X51472) (quinupristin only)</t>
  </si>
  <si>
    <t>Enterobacterales (n=243)</t>
  </si>
  <si>
    <t>Escherichia coli (n=171)</t>
  </si>
  <si>
    <t>Klebsiella spp. (n=34)</t>
  </si>
  <si>
    <t>Enterobacter spp. (n=10)</t>
  </si>
  <si>
    <t>Citrobacter spp. (n=10)</t>
  </si>
  <si>
    <t>Proteus mirabilis (n=10)</t>
  </si>
  <si>
    <t>Other Enterobacterales (n=8)</t>
  </si>
  <si>
    <t>K. pneumoniae (n=30), K. oxytoca (n=10), K. variicola (n=1), Klebsiela spp. (n=3)</t>
  </si>
  <si>
    <t>E. cloacae (n=7), E. aerogenes (n=2), E. bugandensis (n=1)</t>
  </si>
  <si>
    <t>C. koseri (n=5), C. freundii (n=3), C. braakii (n=2)</t>
  </si>
  <si>
    <t>Serratia marcescens (n=1), Salmonella enterica (n=1), Yersinia enterocolitica (n=1), Raoultella planticola (n=1), Erwinia persicina (n=1), Morganella morganii  (n=1), Providencia rettgeri (n=1)</t>
  </si>
  <si>
    <t>Ampicillin - intrinsic resistance - not analysed</t>
  </si>
  <si>
    <t>Ampicillin (EUCAST CBP R&gt;8) - Only Erwinia and Salmonella (others intrinsic R)</t>
  </si>
  <si>
    <t>All Enterobacterales - Ampicillin - total</t>
  </si>
  <si>
    <t>≤ 4</t>
  </si>
  <si>
    <t>blaCTX-M-186 and blaOXA-1 (n=1)</t>
  </si>
  <si>
    <t>blaTEM-1B (n=43); blaTEM-1C (n=4); blaTEM-1D (n=1); blaTEM-1A (n=1); blaTEM-26, blaTEM-1A and/or blaTEM-154 (n=1); blaTEM-1B, blaTEM-30, and/or blaTEM-207 (n=1); blaTEM-141, blaTEM-1B, blaTEM-206, blaTEM-57, blaTEM-33, blaTEM-213 and/or blaTEM-34 (n=1); blaSHV-102, blaSHV-48 and/or blaSHV-1 (n=1); blaOXA-1 (n=3); blaOXA-1 and blaCTX-M-15 (n=4); blaCTX-M-15 (n=2); blaCTX-M-27 (n=2); blaCTX-M-14 (n=1); blaDHA-1 (n=1)</t>
  </si>
  <si>
    <t>blaTEM-1B (n=1); blaCARB-2 (n=1)</t>
  </si>
  <si>
    <t>blaTEM-1B (n=1) (Salmonella); blaERP-1 (n=!) (Erwinia)</t>
  </si>
  <si>
    <t>Ticarcillin/clavulanic acid (EUCAST CBP R&gt;16)</t>
  </si>
  <si>
    <t>All Enterobacterales - Ticarcillin/clavulanic acid - total</t>
  </si>
  <si>
    <t>S (&lt;=8) or I (=16)</t>
  </si>
  <si>
    <t>≤ 16</t>
  </si>
  <si>
    <t>blaTEM-154 (n=1)</t>
  </si>
  <si>
    <t>blaSHV-26 (n=5); blaSHV-56 (n=2); blaOXY-2-7 (n=2); blaOXY-2-8 (n=2); blaOXY-2-1 (n=1); blaOXY-2-5 (n=1); blaOXY-2-10 (n=1); blaOXY-1-3 (n=1); blaOXY-5-1 (n=1); blaOXY-6-2 (n=1)</t>
  </si>
  <si>
    <t>blaACT-5 (n=2); blaACT-12 (n=2); blaACT-14 (n=1);</t>
  </si>
  <si>
    <t>blaMAL-1 (n=5); blaCMY-48 (n=2); blaCMY-34 (n=1); blaCMY-83 (n=1)</t>
  </si>
  <si>
    <t>blaSRT-2 (n=2) (Serratia); blaDHA-1 and/or blaDHA-17 (n=1) (Morganella)</t>
  </si>
  <si>
    <t>S or I</t>
  </si>
  <si>
    <t>blaTEM-30 (n=1); blaTEM-33 and blaTEM-34 (n=1)</t>
  </si>
  <si>
    <t>blaCMY-93 (n=1)</t>
  </si>
  <si>
    <t>blaDHA-1 (n=1)</t>
  </si>
  <si>
    <t>&gt; 64</t>
  </si>
  <si>
    <t>blaSHV-56 (n=1); blaOXY-2-2 and/or blaOXY-2-7 (n=1)</t>
  </si>
  <si>
    <t>blaACT-6 (n=1); blaMIR-1, blaMIR-5 and/or blaMIR-6 (n=1)</t>
  </si>
  <si>
    <t>Ceftazidime (EUCAST CBP R&gt;4)</t>
  </si>
  <si>
    <t>All Enterobacterales - Ceftazidime - total</t>
  </si>
  <si>
    <t>blaCTX-M-186 (n=1); blaSHV-102 (n=1); blaTEM-207 (n=1) blaTEM-213 (n=1); blaCTX-M-14 (n=1); blaCTX-M-15 (n=1)</t>
  </si>
  <si>
    <t>blaSHV-40 (n=4); blaSHV-98 (n=4); blaSHV-13 and/or  blaSHV-70 (n=2); blaSHV-38 (n=1); blaCTX-M-14 (n=1); blaOXY-2-7 (n=1); blaOXY-2-8 (n=2); blaOXY-2-1 (n=1); blaOXY-2-5 (n=1); blaOXY-2-10 (n=1); blaOXY-1-3 (n=1); blaOXY-5-1 (n=1); blaOXY-6-2 (n=1); blaOXY-2-2 and/or blaOXY-2-7 (n=1)</t>
  </si>
  <si>
    <t>blaACT-5 (n=2); blaACT-12 (n=1); blaACT-14 (n=1); blaMIR-1, blaMIR-5 and/or blaMIR-6 (n=1)</t>
  </si>
  <si>
    <t>blaCMY-48 (n=2); blaCMY-34 (n=1); blaCMY-83 (n=1)</t>
  </si>
  <si>
    <t>blaTEM-26 and blaTEM-154 (n=1)</t>
  </si>
  <si>
    <t>blaACT-12 (n=1)</t>
  </si>
  <si>
    <t>blaCTX-M-15 (n=1)</t>
  </si>
  <si>
    <t>blaCTX-M-17 (n=2); blaCTX-M-15 (n=1)</t>
  </si>
  <si>
    <t>blaCTX-M-15 (n=1); blaDHA-1 (n=1)</t>
  </si>
  <si>
    <t>blaCTX-M-15 and blaOXY-2-8 (n=1)</t>
  </si>
  <si>
    <t>blaCTX-M-15 (n=2)</t>
  </si>
  <si>
    <t>blaACT-6 (n=1)</t>
  </si>
  <si>
    <t>(indications other thn meningitis)</t>
  </si>
  <si>
    <t>All Enterobacterales - Ceftriaxone - total</t>
  </si>
  <si>
    <t>blaCTX-M-186 (n=1); blaSHV-102 (n=1); blaTEM-207 (n=1) blaTEM-213 (n=1); blaTEM-26 and blaTEM-154 (n=1)</t>
  </si>
  <si>
    <t>blaSHV-40 (n=4); blaSHV-98 (n=4); blaSHV-13 and/or  blaSHV-70 (n=2); blaSHV-38 (n=1)</t>
  </si>
  <si>
    <t>blaCTX-M-14 (n=1)</t>
  </si>
  <si>
    <t>blaCTX-M-15 (n=4); blaCTX-M-27 (n=2); blaCTX-M-14 (n=1)</t>
  </si>
  <si>
    <t>Cefepime (EUCAST CBP R&gt;4)</t>
  </si>
  <si>
    <t>All Enterobacterales - Cefepime - total</t>
  </si>
  <si>
    <t>S (&lt;=1) or I (2-4)</t>
  </si>
  <si>
    <t>blaOXA-1 (n=3); blaOXA-1 and blaCTX-M-15 (n=2); blaCTX-M-15 (n=1); blaCTX-M-14 (n=1); blaCTX-M-27 (n=1); blaCTX-M-186 and blaOXA-1 (n=1); blaTEM-207 (n=1); blaTEM-213 (n=1); blaTEM-26 and blaTEM-154 (n=1); blaSHV-102 (n=1)</t>
  </si>
  <si>
    <t>blaSHV-40 (n=4); blaSHV-98 (n=4); blaSHV-13 and/or  blaSHV-70 (n=2); blaSHV-38 (n=1); blaCTX-M-14 (n=1), blaCTX-M-15 (n=1)</t>
  </si>
  <si>
    <t>blaCTX-M-27 (n=1); blaOXA-1 and blaCTX-M-15 (n=1)</t>
  </si>
  <si>
    <t>blaOXA-1 and blaCTX-M-15 (n=1)</t>
  </si>
  <si>
    <t>Aztreonam (EUCAST CBP R&gt;4)</t>
  </si>
  <si>
    <t>All Enterobacterales - Aztreonam - total</t>
  </si>
  <si>
    <t>blaCTX-M-14 (n=1); blaCTX-M-15 (n=1); blaCTX-M-186 (n=1); blaTEM-207 (n=1); blaTEM-213 (n=1); blaTEM-26 and blaTEM-154 (n=1); blaSHV-102 (n=1)</t>
  </si>
  <si>
    <t>blaSHV-40 (n=4); blaSHV-98 (n=4); blaSHV-13 and/or  blaSHV-70 (n=2); blaSHV-38 (n=1); blaCTX-M-14 (n=1)</t>
  </si>
  <si>
    <t>blaCTX-M-27 (n=2); blaCTX-M-15 (n=1)</t>
  </si>
  <si>
    <t>Meropenem (EUCAST CBP R&gt;8)</t>
  </si>
  <si>
    <t>All Enterobacterales - Meropenem - total</t>
  </si>
  <si>
    <t>Ciprofloxacin (EUCAST CBP R&gt;0,5)</t>
  </si>
  <si>
    <t xml:space="preserve">Ciprofloxacin (EUCAST CBP R&gt;0,5) - Except Salmonella (EUCAST CBP out of range R&gt;0,06) </t>
  </si>
  <si>
    <t>All Enterobacterales - Ciprofloxacin - total</t>
  </si>
  <si>
    <t>S (&lt;= 0.25) or I (=0.5)</t>
  </si>
  <si>
    <t>gyrA (p.S83L) (n=6); gyrA (p.S83A) (n=2); gyrA (p.S83V) (n=1); gyrA (p.D87G) (n=1); parE (p.I529L) (n=3); parE (p.I355T) (n=2); parC (p.S80I) (n=2); parC (p.S57T) and parE (p.I355T) (n=3); qnrB4 (n=1); aac(6')-Ib-cr (n=1)</t>
  </si>
  <si>
    <t>OqxA, OqxB (n=23); OqxB (n=7); OqxA, OqxB, qnrS1 (n=1)</t>
  </si>
  <si>
    <t>OqxA, OqxB (n=9); OqxA, OqxB, qnrS1 (n=1)</t>
  </si>
  <si>
    <t>qnrB9 (n=1)</t>
  </si>
  <si>
    <t>OqxB (n=3)</t>
  </si>
  <si>
    <t>OqxA, OqxB, qnrB1 (n=1)</t>
  </si>
  <si>
    <t>qnrS1 and gyrA (p.S83L) (n=1)</t>
  </si>
  <si>
    <t>parC (p.S80I), parC (p.E84V), parE (p.I529L), gyrA (p.S83L), gyrA (p.D87N) (n=5); parE (p.S458A), parC (p.S80I), gyrA (p.S83L), gyrA (p.D87N) (n=4); parC (p.E84V), parC (p.S80I), parE (p.I529L), gyrA (p.S83L), gyrA (p.D87N) (n=3); aac(6')-Ib-cr, parC (p.S80I), parC (p.E84V), parE (p.I529L), gyrA (p.S83L), gyrA (p.D87N) (n=3); aac(6')-Ib-cr, parE (p.S458A), parC (p.S80I), gyrA (p.S83L), gyrA (p.D87N) (n=2); gyrA (p.S83L), parC (p.S80I), parE (p.L416F), gyrA (p.D87N) (n=2); parC (p.S80I), parE (p.L416F), gyrA (p.S83L), gyrA (p.D87N) (n=1); parC (p.S80I), parC (p.A56T), gyrA (p.S83L), gyrA (p.D87N) (n=1); parC (p.S80I), gyrA (p.D87H), gyrA (p.S83L) (n=1)</t>
  </si>
  <si>
    <t>OqxA, OqxB, gyrA (p.D87G) (n=1); OqxA, OqxB, gyrA (p.S83F) (n=1)</t>
  </si>
  <si>
    <t>Trimethoprim/sufamethoxazole (EUCAST CBP R&gt;4)</t>
  </si>
  <si>
    <t>All Enterobacterales - Trimethoprim/sufamethoxazole - total</t>
  </si>
  <si>
    <t>dfrA17 and sul1 (n=2)</t>
  </si>
  <si>
    <t xml:space="preserve"> OqxA, OqxB and sul1 (n=1)</t>
  </si>
  <si>
    <t>1 (only sul1)</t>
  </si>
  <si>
    <t>dfrA17 and sul1 (n=8); dfrA17, sul1 and sul2 (n=7); dfrA14 and sul2 (n=4); dfrA7, sul1 and sul2 (n=3); dfrA1, sul1 and sul2 (n=3); dfrA5 and sul1 (n=2); dfrA5 and sul2 (n=2); dfrA1 and sul2 (n=1); dfrA12, sul1 and sul2 (n=1); dfrA12 and sul3 (n=1); dfrA36, sul1 ans sul2 (n=1); dfrA7 and sul2 (n=1); dfrA8 and sul2 (n=1); dfrA17, dfrA14, sul1 and sul2 (n=1)</t>
  </si>
  <si>
    <t>OqxA, OqxB, dfrA14 and sul2 (n=3); OqxB, dfrA14 and sul2 (n=1); OqxA, OqxB, dfrA1, sul 1 and sul2 (n=1);  OqxA, OqxB, dfrA15 and sul1 (n=1)</t>
  </si>
  <si>
    <t>dfrA1, drfA15 and sul1 (n=1); dfrA1 and sul1 (n=1)</t>
  </si>
  <si>
    <t>Gentamicin (EUCAST CBP R&gt;2) - Except Salmonella (intrinsic R)</t>
  </si>
  <si>
    <t>All Enterobacterales - Gentamicin - total</t>
  </si>
  <si>
    <t>aac(3)-Iid (n=1)</t>
  </si>
  <si>
    <t>aac(3)-Id (n=1)</t>
  </si>
  <si>
    <t>aac(3)-IV (n=1)</t>
  </si>
  <si>
    <t>aac(3)-Iia (n=2); aac(3)-Iid (n=3)</t>
  </si>
  <si>
    <t>Amikacin (EUCAST CBP R&gt;8)</t>
  </si>
  <si>
    <t>Amikacin (EUCAST CBP R&gt;8) - Except Salmonella (intrinsic R)</t>
  </si>
  <si>
    <t>All Enterobacterales - Amikacin - total</t>
  </si>
  <si>
    <t>≤ 8</t>
  </si>
  <si>
    <t>aac(6')-Ib-cr (n=3)</t>
  </si>
  <si>
    <t>2 (Serratia)</t>
  </si>
  <si>
    <t>aac(6')-Ic (n=2)</t>
  </si>
  <si>
    <t>Colistin (EUCAST CBP R&gt;2)</t>
  </si>
  <si>
    <t>Colistin - intrinsic resistance - not tested</t>
  </si>
  <si>
    <t>Colistin (EUCAST CBP R&gt;2) - Except Serratia, Morganella and Providencia (intrinsic R)</t>
  </si>
  <si>
    <t>All Enterobacterales - Colistin - total</t>
  </si>
  <si>
    <t>pmrB (p.V161G) (n=2)</t>
  </si>
  <si>
    <t>&gt; 128</t>
  </si>
  <si>
    <t>Escherichia coli - all antimicrobials - total</t>
  </si>
  <si>
    <t>Klebsiella spp.  - all antimicrobials - total</t>
  </si>
  <si>
    <t>Enterobacter spp.  - all antimicrobials - total</t>
  </si>
  <si>
    <t>Citrobacter spp.  - all antimicrobials - total</t>
  </si>
  <si>
    <t>Proteus mirabilis  - all antimicrobials - total</t>
  </si>
  <si>
    <t>Other Enterobacterales - all antimicrobials - total</t>
  </si>
  <si>
    <t>All Enterobacterales - all antimicrobials - total</t>
  </si>
  <si>
    <t>Ampicillin/sulbactam</t>
  </si>
  <si>
    <t>Citrobacter spp. (except C. freundii) (n=7)</t>
  </si>
  <si>
    <t>Other Enterobacterales (n=6)</t>
  </si>
  <si>
    <t>Enterobacter spp. (n=10) - not analysed</t>
  </si>
  <si>
    <t>Citrobacter freundii (n=3) - not analysed</t>
  </si>
  <si>
    <t>Serratia (n=2) - not analysed</t>
  </si>
  <si>
    <t>EUCAST CBP R&gt;8</t>
  </si>
  <si>
    <t>Intrinsic R</t>
  </si>
  <si>
    <t>Cefazolin</t>
  </si>
  <si>
    <t>(infections originating from the urinary tract)</t>
  </si>
  <si>
    <t>Citrobacter spp. (n=10) - not analysed</t>
  </si>
  <si>
    <t>Proteus mirabilis (n=10) - not analysed</t>
  </si>
  <si>
    <t>Other Enterobacterales (n=8) - not analysed</t>
  </si>
  <si>
    <t>No clinical breakpoint / Intrinsic R</t>
  </si>
  <si>
    <t>Raoultella (n=1)</t>
  </si>
  <si>
    <t>Other Enterobacterales (n=7) - not analysed</t>
  </si>
  <si>
    <t>S (oral) or I (iv)</t>
  </si>
  <si>
    <t>Empty cell: No genes detected by ResFinder 4.0 database (when antimicrobial is present in database)</t>
  </si>
  <si>
    <t>Piperacillin/tazobactam</t>
  </si>
  <si>
    <t>Out of range</t>
  </si>
  <si>
    <t>blaOXA-1 (n=7); blaDHA-1 (n=1); blaTEM-30 (n=1); blaTEM-154 (n=1); blaTEM-33 and blaTEM-34 (n=1)</t>
  </si>
  <si>
    <t>blaSHV-26 (n=5); blaSHV-56 (n=3); blaOXY-2-7 (n=2); blaOXY-2-8 (n=2); blaOXY-2-1 (n=1); blaOXY-2-5 (n=1); blaOXY-2-10 (n=1); blaOXY-1-3 (n=1); blaOXY-5-1 (n=1); blaOXY-6-2 (n=1)</t>
  </si>
  <si>
    <t>blaACT-5 (n=2); blaACT-12 (n=2); blaACT-14 (n=1); blaMIR-5 and/or blaMIR-6 (n=1)</t>
  </si>
  <si>
    <t>blaCMY-48 (n=2); blaCMY-34 (n=1); blaCMY-83 (n=1); blaCMY-93 (n=1)</t>
  </si>
  <si>
    <t>blaSHV-56 (n=1)</t>
  </si>
  <si>
    <t>blaOXA-1 (n=1)</t>
  </si>
  <si>
    <t>blaOXY-2-2 and/or blaOXY-2-7 (n=1)</t>
  </si>
  <si>
    <t>Cefpodoxime</t>
  </si>
  <si>
    <t>Species</t>
  </si>
  <si>
    <t>Klebsiella spp. (n=34) - not analysed</t>
  </si>
  <si>
    <t>EUCAST CBP R&gt;0.5</t>
  </si>
  <si>
    <t>Citrobacter koseri (n=5)</t>
  </si>
  <si>
    <t>Other Citrobacter spp. (n=5)</t>
  </si>
  <si>
    <t>ramR (p.A19V) (n=1); acrR (p.F204L) (n=1)</t>
  </si>
  <si>
    <t>Tobramycin</t>
  </si>
  <si>
    <t>Escherichia coli (n=171) - not analysed</t>
  </si>
  <si>
    <t>aac(3)-Iid (n=2)</t>
  </si>
  <si>
    <t>aac(6')-Iaa (n=1) (Salmonella); aac(6')-Ic (n=2) (Serratia)</t>
  </si>
  <si>
    <t>aac(3)-Iid (n=1); none (n=1)</t>
  </si>
  <si>
    <t>aac(6')-Ib-cr (n=5); aac(6')-Ib-cr and aac(3)-IIa (n=1); aac(3)-IIa (n=1); aac(3)-IV (n=1); aac(3)-Iid (n=1)</t>
  </si>
  <si>
    <t>tet(J) (n=2)</t>
  </si>
  <si>
    <t>tet(A) (n=23); tet(B) (n=22)</t>
  </si>
  <si>
    <t>tet(A) (n=2)</t>
  </si>
  <si>
    <t>tet(J) (n=6); tet(J) and tet(A) (n=1); tet(J) and tet(G) (n=1)</t>
  </si>
  <si>
    <t>1 (Salmonella enterica)</t>
  </si>
  <si>
    <t>tet(B) (n=1)</t>
  </si>
  <si>
    <t>Cefoxitin (ECOFF NWT&gt;8)</t>
  </si>
  <si>
    <t>Screen only / No clinical breakpoint</t>
  </si>
  <si>
    <t>blaOXY-2-7 (n=2); blaOXY-2-8 (n=2); blaOXY-2-1 (n=1); blaOXY-2-5 (n=1); blaOXY-2-10 (n=1); blaOXY-1-3 (n=1); blaOXY-5-1 (n=1); blaOXY-6-2 (n=1); blaOXY-2-2 and/or blaOXY-2-7 (n=1)</t>
  </si>
  <si>
    <t xml:space="preserve">blaACT-14 </t>
  </si>
  <si>
    <t>blaCMY-48 (n=1)</t>
  </si>
  <si>
    <t>blaDHA-1 and/or blaDHA-17 (n=1); blaSRT-2 (n=1)</t>
  </si>
  <si>
    <t>blaACT-5 (n=2); blaACT-12 (n=2); blaACT-6 (n=1); blaACT-14 (n=1); blaMIR-5, blaMIR-1, blaMIR-6 (n=1)</t>
  </si>
  <si>
    <t>blaCMY-93 (n=1); blaCMY-83 (n=1); blaCMY-48 (n=1); blaCMY-34 (n=1)</t>
  </si>
  <si>
    <t>blaSRT-2 (n=1)</t>
  </si>
  <si>
    <t>Cephalothin</t>
  </si>
  <si>
    <t>blaSHV-78 (n=2); blaSHV-77 (n=1); blaSHV-89 (n=1); blaSHV-81 (n=1); blaLEN9 (n=1); none (n=3)</t>
  </si>
  <si>
    <t>blaTEM-1B (n=1)</t>
  </si>
  <si>
    <t>blaSHV-78 (n=2); blaSHV-81 (n=1); blaSHV-33 (n=1); blaSHV-11 (n=1); none (n=3)</t>
  </si>
  <si>
    <t>blaMAL-1 (n=4)</t>
  </si>
  <si>
    <t>blaTEM-1B (n=12); blaTEM-1C (n=1)</t>
  </si>
  <si>
    <t>blaSHV-89/blaSHV-79/blaSHV-85 (n=1); blaSHV-60 (n=1); none (n=7)</t>
  </si>
  <si>
    <t>blaMAL-1 (n=1)</t>
  </si>
  <si>
    <t>blaTEM-1B (n=1); none (n=3)</t>
  </si>
  <si>
    <t>blaTEM-1B (n=1) (Salmonella)</t>
  </si>
  <si>
    <t>blaTEM-1B (n=20); blaTEM-1C (n=2); blaTEM-1D (n=1); blaTEM-1A (n=1); blaSHV-1/blaSHV-48 (n=1)</t>
  </si>
  <si>
    <t>none (n=2)</t>
  </si>
  <si>
    <t>blaTEM-1B (n=11); blaTEM-1C (n=1); blaTEM-1A (n=1); blaTEM-141/blaTEM-1B/blaTEM-206/blaTEM-57 (n=1)</t>
  </si>
  <si>
    <t>blaTEM-1B (n=1); blaTEM-1B/blaSHV-81 (n=1) blaSHV-79/blaTEM-1B/blaSHV-89/blaSHV-85 (n=2); none (n=2)</t>
  </si>
  <si>
    <t>blaLAP-2 (n=1)</t>
  </si>
  <si>
    <t>Pseudomonas aeruginosa (n=21)</t>
  </si>
  <si>
    <t>Piperacillin/tazobactam (EUCAST CBP R&gt;16)</t>
  </si>
  <si>
    <t>Ceftazidime (EUCAST CBP R&gt;8) *</t>
  </si>
  <si>
    <t xml:space="preserve">blaPAO-2/blaPAO-3 (n=2); blaPAO-1 (n=1); blaPAO-1/blaPAO-4 (n=1) </t>
  </si>
  <si>
    <t>blaPAO-4 (n=3); blaPAO-1/blaPAO-4 (n=2); blaPAO-2/blaPAO-3 (n=2); blaPAO-1 (n=1)</t>
  </si>
  <si>
    <t>blaPAO-4 (n=2); blaPAO-2/blaPAO-3 (n=2); blaPAO-3 (n=1); blaPAO-1 /blaPAO-4 (n=1); blaPAO-2/blaPAO-3/blaPAO-4 (n=1)</t>
  </si>
  <si>
    <t>blaPAO-1/blaPAO-4 (n=1); blaPAO-2/blaPAO-3/blaPAO-4 (n=1)</t>
  </si>
  <si>
    <t>Cefepime (EUCAST CBP R&gt;8) *</t>
  </si>
  <si>
    <t>blaPAO-4 (n=4); blaPAO-1/blaPAO-4 (n=4); blaPAO-2/blaPAO-3 (n=3); blaPAO-1 (n=2); blaPAO-2/blaPAO-3/blaPAO-4 (n=2); blaPAO-3 (n=1)</t>
  </si>
  <si>
    <t>blaPAO-2/blaPAO-3 (n=3); blaPAO-4 (n=1)</t>
  </si>
  <si>
    <t>blaPAO-1/blaPAO-4 (n=1)</t>
  </si>
  <si>
    <r>
      <t xml:space="preserve">* Class C beta-lactamases nomenclature remains inconsistent across databases and publications. The following table summarizes the characteristics of the class C beta-lactamases detected in </t>
    </r>
    <r>
      <rPr>
        <i/>
        <sz val="11"/>
        <color theme="1"/>
        <rFont val="Calibri"/>
        <family val="2"/>
        <scheme val="minor"/>
      </rPr>
      <t>P. aeruginosa</t>
    </r>
  </si>
  <si>
    <t>Name in ResFinder database</t>
  </si>
  <si>
    <t>Accession number</t>
  </si>
  <si>
    <t>Name in BLDB</t>
  </si>
  <si>
    <t>BLAST against CARD</t>
  </si>
  <si>
    <t>BLAST against RefSeq</t>
  </si>
  <si>
    <t>blaPAO-1</t>
  </si>
  <si>
    <t>AY083595</t>
  </si>
  <si>
    <t>PDC-1</t>
  </si>
  <si>
    <t>None with 100% ID</t>
  </si>
  <si>
    <t>99.76% ID to PDC-1 NG_049865.1, 99.76% ID to PDC-3 NG_049901.1</t>
  </si>
  <si>
    <t>blaPAO-2</t>
  </si>
  <si>
    <t>FJ666065</t>
  </si>
  <si>
    <t>Not in BLDB</t>
  </si>
  <si>
    <t>100% ID to PDC-1 NG_049865.1</t>
  </si>
  <si>
    <t>blaPAO-3</t>
  </si>
  <si>
    <t>FJ666073</t>
  </si>
  <si>
    <t>PDC-10</t>
  </si>
  <si>
    <t>100% ID to PDC-10 NG_049866.1, 99.83% ID to PDC-1 NG_049865.1</t>
  </si>
  <si>
    <t>blaPAO-4</t>
  </si>
  <si>
    <t>AY083592</t>
  </si>
  <si>
    <t>PDC-31</t>
  </si>
  <si>
    <t>99.77% ID to PDC-3 NG_049901.1, 99.69% ID to PDC-74 NG_051744.1, 99.61% ID to PDC-1 NG_049865.1, 99.58% ID to PDC-31 NG_049903.1</t>
  </si>
  <si>
    <t>Aztreonam (EUCAST CBP R&gt;16)</t>
  </si>
  <si>
    <t>blaOXA-396 (n=7); blaOXA-395 (n=4)</t>
  </si>
  <si>
    <t>blaOXA-396 (n=4)</t>
  </si>
  <si>
    <t>crpP (n=9)</t>
  </si>
  <si>
    <t>crpP (n=1)</t>
  </si>
  <si>
    <t>Amikacin (EUCAST CBP R&gt;16)</t>
  </si>
  <si>
    <t>*Two isolates included in the MIC=1 mg/L category actually have MIC &lt;=1 and not =1 (different MIC panel used)</t>
  </si>
  <si>
    <t>Pseudomonas aeruginosa - all antimicrobials - total</t>
  </si>
  <si>
    <t>tet(A) (n=1)</t>
  </si>
  <si>
    <t>Out of range (EUCAST CBP R&gt;2)</t>
  </si>
  <si>
    <t>aph(3')-IIb (n=3)</t>
  </si>
  <si>
    <t>blaOXA-396/ blaPAO (n=7); blaPAO (n=5); blaOXA-395/blaPAO (n=4); blaPAO/blaOXA-50 (n=3); blaOXA-396/blaPAO/blaOXA-50 (n=2)</t>
  </si>
  <si>
    <t>Cefoxitin</t>
  </si>
  <si>
    <t>Intrinsic resistance. Not in ResFinder 4.0 database</t>
  </si>
  <si>
    <t>No clinical breakpoint. Not in ResFinder 4.0 database</t>
  </si>
  <si>
    <t>Stenotrophomonas maltophilia (n=2)</t>
  </si>
  <si>
    <t>Stenotrophomonas maltophilia - all antimicrobials - total</t>
  </si>
  <si>
    <t>Ampicilin+Sulbactam</t>
  </si>
  <si>
    <t>Piperacillin+Tazobactam</t>
  </si>
  <si>
    <t>Ticarcillin+Clavulanic acid</t>
  </si>
  <si>
    <t>Ceftazidime</t>
  </si>
  <si>
    <t>Aztreonam</t>
  </si>
  <si>
    <t>Meropenem</t>
  </si>
  <si>
    <t>Amikacin</t>
  </si>
  <si>
    <t>≤4 - &gt;32</t>
  </si>
  <si>
    <t>≤16 - &gt;128</t>
  </si>
  <si>
    <t>≤16 - &gt;64</t>
  </si>
  <si>
    <t>≤1 - &gt;32</t>
  </si>
  <si>
    <t>≤1 - &gt;64</t>
  </si>
  <si>
    <t>≤1 - &gt;8</t>
  </si>
  <si>
    <t>≤4 - &gt;8</t>
  </si>
  <si>
    <t>≤8 - &gt;64</t>
  </si>
  <si>
    <t>≤0,5 - &gt;16</t>
  </si>
  <si>
    <t>&gt;32/16</t>
  </si>
  <si>
    <t>≤16/4</t>
  </si>
  <si>
    <t>≤16/2</t>
  </si>
  <si>
    <t>aac(6')-Iz (aac(6')-Iz_AF140221)</t>
  </si>
  <si>
    <t>64/4</t>
  </si>
  <si>
    <t>≤8</t>
  </si>
  <si>
    <t>Haemophilus influenzae (n=14)</t>
  </si>
  <si>
    <t>Ampicillin (EUCAST CBP R&gt;1)</t>
  </si>
  <si>
    <t>blaTEM-1B (n=4); blaTEM-1B, blaTEM-206 and blaTEM-141 (n=1)</t>
  </si>
  <si>
    <t>Amoxicillin/Clavulanic acid (EUCAST CBP R&gt;2)</t>
  </si>
  <si>
    <t>S (iv) or I (oral)</t>
  </si>
  <si>
    <t>R (iv) or R (oral)</t>
  </si>
  <si>
    <t>Cefepime (EUCAST CBP R&gt;0,25)</t>
  </si>
  <si>
    <t>Cefixime (EUCAST CBP R&gt;0,125)</t>
  </si>
  <si>
    <t>Ceftriaxone (EUCAST CBP R&gt;0,125)</t>
  </si>
  <si>
    <t>Imipenem (EUCAST CBP R&gt;2)</t>
  </si>
  <si>
    <t>≤ 0,06</t>
  </si>
  <si>
    <t>Chloramphenicol (EUCAST CBP R&gt;2)</t>
  </si>
  <si>
    <t>Trimethoprim/sufamethoxazole (EUCAST CBP R&gt;1)</t>
  </si>
  <si>
    <t>Haemophilus influenzae - all antimicrobials - total</t>
  </si>
  <si>
    <t>Ampicilin/Sulbactam</t>
  </si>
  <si>
    <t>I (iv) or R (oral)</t>
  </si>
  <si>
    <t>EUCAST CBP R&gt;0,06</t>
  </si>
  <si>
    <t>Cefaclor</t>
  </si>
  <si>
    <t>Out of range (EUCAST CBP R&gt;16)</t>
  </si>
  <si>
    <t>&gt;0,5</t>
  </si>
  <si>
    <t>Clarithromycin</t>
  </si>
  <si>
    <t xml:space="preserve">Out of range (EUCAST CBP R&gt;32). Not in ResFinder 4.0 database. </t>
  </si>
  <si>
    <t>Sparfloxacin</t>
  </si>
  <si>
    <t xml:space="preserve">No clinical breakpoint. Not in ResFinder 4.0 database. </t>
  </si>
  <si>
    <t>Colistin</t>
  </si>
  <si>
    <t>&gt;128</t>
  </si>
  <si>
    <t>Moraxella catarrhalis (n=10)</t>
  </si>
  <si>
    <t xml:space="preserve">S </t>
  </si>
  <si>
    <t>Trimethoprim/sulfamethoxazole (EUCAST CBP R&gt;1)</t>
  </si>
  <si>
    <t>Moraxella catarrhalis - all antimicrobials - total</t>
  </si>
  <si>
    <t>I (=8) or R (&gt;8) (iv) or R (oral)</t>
  </si>
  <si>
    <t>blaBRO-1 (n=1)</t>
  </si>
  <si>
    <t>blaBRO-1 (n=2)</t>
  </si>
  <si>
    <t>blaBRO-1 (n=7)</t>
  </si>
  <si>
    <t>Out of range (EUCAST CBP R&gt;1)</t>
  </si>
  <si>
    <t xml:space="preserve">Out of range (EUCAST CBP R&gt;0,125). Not in ResFinder 4.0 database. </t>
  </si>
  <si>
    <t xml:space="preserve">Out of range (EUCAST CBP R&gt;0.25). Not in ResFinder 4.0 database. </t>
  </si>
  <si>
    <t>No clinical breakpoint/ NA (G-)</t>
  </si>
  <si>
    <t>Vancomycin</t>
  </si>
  <si>
    <t xml:space="preserve">No clinical breakpoint/ NA (G-). Not in ResFinder 4.0 database. </t>
  </si>
  <si>
    <t>Summary of results</t>
  </si>
  <si>
    <t>Total (n=488)</t>
  </si>
  <si>
    <t>Bacteria</t>
  </si>
  <si>
    <t>TOTAL Gram-positives</t>
  </si>
  <si>
    <t>TOTAL Gram-negatives</t>
  </si>
  <si>
    <t>GRAND TOTAL</t>
  </si>
  <si>
    <t>Nr. phenotypic tests</t>
  </si>
  <si>
    <t>Nr. Susceptible</t>
  </si>
  <si>
    <t>% Susceptible</t>
  </si>
  <si>
    <t>Nr. Resistant</t>
  </si>
  <si>
    <t>% Resistant</t>
  </si>
  <si>
    <t>Nr. phenotype-genotype comparisons</t>
  </si>
  <si>
    <t>Nr. phenotypically susceptible</t>
  </si>
  <si>
    <t>Nr. phenotypic resistant</t>
  </si>
  <si>
    <t>Nr. Resistant without genes</t>
  </si>
  <si>
    <t>Nr. Susceptible with genes</t>
  </si>
  <si>
    <t>Nr. Discordances</t>
  </si>
  <si>
    <t>% Discordances</t>
  </si>
  <si>
    <t>Nr. Concordances</t>
  </si>
  <si>
    <t>% Concordances</t>
  </si>
  <si>
    <t>Colistin (EUCAST CBP R&gt;4)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</si>
</sst>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0" x14ac:knownFonts="1">
    <font>
      <sz val="11"/>
      <color theme="1"/>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FF0000"/>
      <name val="Calibri"/>
      <family val="2"/>
      <scheme val="minor"/>
    </font>
    <font>
      <b/>
      <sz val="11"/>
      <color theme="1"/>
      <name val="Calibri"/>
      <family val="2"/>
      <scheme val="minor"/>
    </font>
    <font>
      <sz val="11"/>
      <color rgb="FF9C6500"/>
      <name val="Calibri"/>
      <family val="2"/>
      <scheme val="minor"/>
    </font>
    <font>
      <sz val="11"/>
      <color theme="0" tint="-0.499984740745262"/>
      <name val="Calibri"/>
      <family val="2"/>
      <scheme val="minor"/>
    </font>
    <font>
      <sz val="11"/>
      <name val="Calibri"/>
      <family val="2"/>
      <scheme val="minor"/>
    </font>
    <font>
      <i/>
      <sz val="11"/>
      <name val="Calibri"/>
      <family val="2"/>
      <scheme val="minor"/>
    </font>
    <font>
      <b/>
      <sz val="14"/>
      <color theme="1"/>
      <name val="Calibri"/>
      <family val="2"/>
      <scheme val="minor"/>
    </font>
    <font>
      <sz val="14"/>
      <color theme="1"/>
      <name val="Calibri"/>
      <family val="2"/>
      <scheme val="minor"/>
    </font>
    <font>
      <b/>
      <sz val="14"/>
      <name val="Calibri"/>
      <family val="2"/>
      <scheme val="minor"/>
    </font>
    <font>
      <sz val="14"/>
      <name val="Calibri"/>
      <family val="2"/>
      <scheme val="minor"/>
    </font>
    <font>
      <b/>
      <sz val="11"/>
      <color rgb="FFFF0000"/>
      <name val="Calibri"/>
      <family val="2"/>
      <scheme val="minor"/>
    </font>
    <font>
      <b/>
      <sz val="14"/>
      <color rgb="FFFF0000"/>
      <name val="Calibri"/>
      <family val="2"/>
      <scheme val="minor"/>
    </font>
    <font>
      <sz val="11"/>
      <name val="Calibri"/>
      <family val="2"/>
    </font>
    <font>
      <sz val="11"/>
      <color theme="1"/>
      <name val="Calibri"/>
      <family val="2"/>
    </font>
    <font>
      <b/>
      <sz val="14"/>
      <color theme="0" tint="-0.499984740745262"/>
      <name val="Calibri"/>
      <family val="2"/>
      <scheme val="minor"/>
    </font>
    <font>
      <sz val="14"/>
      <color theme="0" tint="-0.499984740745262"/>
      <name val="Calibri"/>
      <family val="2"/>
      <scheme val="minor"/>
    </font>
    <font>
      <sz val="11"/>
      <color theme="0" tint="-0.499984740745262"/>
      <name val="Calibri"/>
      <family val="2"/>
    </font>
    <font>
      <i/>
      <sz val="11"/>
      <color theme="1"/>
      <name val="Calibri"/>
      <family val="2"/>
      <scheme val="minor"/>
    </font>
    <font>
      <b/>
      <sz val="11"/>
      <color theme="0" tint="-0.499984740745262"/>
      <name val="Calibri"/>
      <family val="2"/>
      <scheme val="minor"/>
    </font>
    <font>
      <b/>
      <sz val="11"/>
      <color theme="0" tint="-0.499984740745262"/>
      <name val="Calibri"/>
      <family val="2"/>
    </font>
    <font>
      <sz val="8.8000000000000007"/>
      <color theme="1"/>
      <name val="Calibri"/>
      <family val="2"/>
    </font>
    <font>
      <sz val="8.8000000000000007"/>
      <name val="Calibri"/>
      <family val="2"/>
    </font>
    <font>
      <sz val="14"/>
      <color rgb="FFFF0000"/>
      <name val="Calibri"/>
      <family val="2"/>
      <scheme val="minor"/>
    </font>
    <font>
      <b/>
      <sz val="11"/>
      <name val="Calibri"/>
      <family val="2"/>
    </font>
    <font>
      <b/>
      <sz val="14"/>
      <color theme="0" tint="-0.34998626667073579"/>
      <name val="Calibri"/>
      <family val="2"/>
      <scheme val="minor"/>
    </font>
    <font>
      <sz val="11"/>
      <color theme="0" tint="-0.34998626667073579"/>
      <name val="Calibri"/>
      <family val="2"/>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FF00"/>
        <bgColor indexed="64"/>
      </patternFill>
    </fill>
    <fill>
      <patternFill patternType="solid">
        <fgColor rgb="FFFFEB9C"/>
        <bgColor indexed="64"/>
      </patternFill>
    </fill>
    <fill>
      <patternFill patternType="solid">
        <fgColor theme="0"/>
        <bgColor indexed="64"/>
      </patternFill>
    </fill>
    <fill>
      <patternFill patternType="solid">
        <fgColor theme="4" tint="0.79998168889431442"/>
        <bgColor indexed="64"/>
      </patternFill>
    </fill>
    <fill>
      <patternFill patternType="solid">
        <fgColor theme="4" tint="0.39997558519241921"/>
        <bgColor indexed="64"/>
      </patternFill>
    </fill>
  </fills>
  <borders count="46">
    <border>
      <left/>
      <right/>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right style="thin">
        <color indexed="64"/>
      </right>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style="medium">
        <color indexed="64"/>
      </left>
      <right/>
      <top/>
      <bottom/>
      <diagonal/>
    </border>
    <border>
      <left style="thin">
        <color indexed="64"/>
      </left>
      <right style="medium">
        <color indexed="64"/>
      </right>
      <top/>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medium">
        <color indexed="64"/>
      </left>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style="thin">
        <color indexed="64"/>
      </left>
      <right/>
      <top/>
      <bottom/>
      <diagonal/>
    </border>
    <border>
      <left/>
      <right style="medium">
        <color indexed="64"/>
      </right>
      <top/>
      <bottom style="thin">
        <color indexed="64"/>
      </bottom>
      <diagonal/>
    </border>
    <border>
      <left/>
      <right style="medium">
        <color indexed="64"/>
      </right>
      <top style="thin">
        <color indexed="64"/>
      </top>
      <bottom/>
      <diagonal/>
    </border>
    <border>
      <left/>
      <right/>
      <top style="thin">
        <color indexed="64"/>
      </top>
      <bottom/>
      <diagonal/>
    </border>
    <border>
      <left/>
      <right style="medium">
        <color indexed="64"/>
      </right>
      <top/>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right/>
      <top/>
      <bottom style="medium">
        <color indexed="64"/>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0" applyNumberFormat="0" applyBorder="0" applyAlignment="0" applyProtection="0"/>
  </cellStyleXfs>
  <cellXfs count="572">
    <xf numFmtId="0" fontId="0" fillId="0" borderId="0" xfId="0"/>
    <xf numFmtId="0" fontId="5" fillId="0" borderId="0" xfId="0" applyFont="1"/>
    <xf numFmtId="0" fontId="1" fillId="2" borderId="0" xfId="1"/>
    <xf numFmtId="0" fontId="2" fillId="3" borderId="0" xfId="2"/>
    <xf numFmtId="0" fontId="3" fillId="4" borderId="0" xfId="3"/>
    <xf numFmtId="0" fontId="7" fillId="0" borderId="0" xfId="0" applyFont="1"/>
    <xf numFmtId="0" fontId="8" fillId="0" borderId="0" xfId="0" applyFont="1"/>
    <xf numFmtId="0" fontId="0" fillId="5" borderId="0" xfId="0" applyFill="1"/>
    <xf numFmtId="0" fontId="10" fillId="5" borderId="0" xfId="0" applyFont="1" applyFill="1"/>
    <xf numFmtId="0" fontId="10" fillId="0" borderId="0" xfId="0" applyFont="1"/>
    <xf numFmtId="49" fontId="0" fillId="0" borderId="0" xfId="0" applyNumberFormat="1" applyProtection="1">
      <protection locked="0"/>
    </xf>
    <xf numFmtId="0" fontId="11" fillId="0" borderId="0" xfId="0" applyFont="1" applyAlignment="1">
      <alignment vertical="center"/>
    </xf>
    <xf numFmtId="0" fontId="4" fillId="0" borderId="0" xfId="0" applyFont="1"/>
    <xf numFmtId="0" fontId="10" fillId="0" borderId="0" xfId="0" applyFont="1" applyAlignment="1">
      <alignment wrapText="1"/>
    </xf>
    <xf numFmtId="0" fontId="10" fillId="0" borderId="0" xfId="0" applyFont="1" applyAlignment="1">
      <alignment horizontal="right" vertical="center"/>
    </xf>
    <xf numFmtId="0" fontId="12" fillId="0" borderId="0" xfId="0" applyFont="1"/>
    <xf numFmtId="0" fontId="13" fillId="0" borderId="0" xfId="0" applyFont="1" applyAlignment="1">
      <alignment vertical="center"/>
    </xf>
    <xf numFmtId="0" fontId="12" fillId="0" borderId="0" xfId="0" applyFont="1" applyAlignment="1">
      <alignment wrapText="1"/>
    </xf>
    <xf numFmtId="0" fontId="12" fillId="0" borderId="0" xfId="0" applyFont="1" applyAlignment="1">
      <alignment horizontal="right" vertical="center"/>
    </xf>
    <xf numFmtId="0" fontId="14" fillId="5" borderId="0" xfId="0" applyFont="1" applyFill="1"/>
    <xf numFmtId="0" fontId="0" fillId="0" borderId="1" xfId="0" applyBorder="1" applyAlignment="1">
      <alignment horizontal="left" wrapText="1"/>
    </xf>
    <xf numFmtId="0" fontId="0" fillId="0" borderId="2" xfId="0" applyBorder="1" applyAlignment="1">
      <alignment horizontal="left" wrapText="1"/>
    </xf>
    <xf numFmtId="0" fontId="0" fillId="0" borderId="3" xfId="0" applyBorder="1" applyAlignment="1">
      <alignment horizontal="left" wrapText="1"/>
    </xf>
    <xf numFmtId="0" fontId="0" fillId="0" borderId="4" xfId="0" applyBorder="1" applyAlignment="1">
      <alignment vertical="center" wrapText="1"/>
    </xf>
    <xf numFmtId="0" fontId="0" fillId="0" borderId="0" xfId="0" applyAlignment="1">
      <alignment vertical="center" wrapText="1"/>
    </xf>
    <xf numFmtId="0" fontId="0" fillId="0" borderId="5" xfId="0" applyBorder="1"/>
    <xf numFmtId="0" fontId="0" fillId="0" borderId="6" xfId="0" applyBorder="1"/>
    <xf numFmtId="0" fontId="8" fillId="0" borderId="7" xfId="0" applyFont="1" applyBorder="1"/>
    <xf numFmtId="0" fontId="0" fillId="0" borderId="7" xfId="0" applyBorder="1"/>
    <xf numFmtId="0" fontId="0" fillId="0" borderId="8" xfId="0" applyBorder="1" applyAlignment="1">
      <alignment horizontal="center"/>
    </xf>
    <xf numFmtId="0" fontId="0" fillId="0" borderId="9" xfId="0" applyBorder="1" applyAlignment="1">
      <alignment horizontal="left"/>
    </xf>
    <xf numFmtId="0" fontId="1" fillId="2" borderId="9" xfId="1" applyBorder="1"/>
    <xf numFmtId="0" fontId="8" fillId="0" borderId="9" xfId="0" applyFont="1" applyBorder="1"/>
    <xf numFmtId="0" fontId="8" fillId="0" borderId="9" xfId="0" applyFont="1" applyBorder="1" applyAlignment="1">
      <alignment wrapText="1"/>
    </xf>
    <xf numFmtId="0" fontId="0" fillId="0" borderId="10" xfId="0" applyBorder="1" applyAlignment="1">
      <alignment horizontal="center" vertical="center"/>
    </xf>
    <xf numFmtId="0" fontId="8" fillId="0" borderId="8" xfId="0" applyFont="1" applyBorder="1" applyAlignment="1">
      <alignment horizontal="center"/>
    </xf>
    <xf numFmtId="0" fontId="8" fillId="0" borderId="9" xfId="0" applyFont="1" applyBorder="1" applyAlignment="1">
      <alignment horizontal="left"/>
    </xf>
    <xf numFmtId="0" fontId="8" fillId="0" borderId="10" xfId="0" applyFont="1" applyBorder="1" applyAlignment="1">
      <alignment horizontal="center" vertical="center"/>
    </xf>
    <xf numFmtId="0" fontId="0" fillId="0" borderId="11" xfId="0" applyBorder="1"/>
    <xf numFmtId="0" fontId="1" fillId="2" borderId="0" xfId="1" applyBorder="1"/>
    <xf numFmtId="0" fontId="2" fillId="3" borderId="9" xfId="2" applyBorder="1"/>
    <xf numFmtId="0" fontId="0" fillId="0" borderId="9" xfId="0" applyBorder="1"/>
    <xf numFmtId="0" fontId="0" fillId="0" borderId="12" xfId="0" applyBorder="1" applyAlignment="1">
      <alignment horizontal="center"/>
    </xf>
    <xf numFmtId="0" fontId="0" fillId="0" borderId="13" xfId="0" applyBorder="1" applyAlignment="1">
      <alignment horizontal="center" vertical="center"/>
    </xf>
    <xf numFmtId="0" fontId="8" fillId="0" borderId="12" xfId="0" applyFont="1" applyBorder="1" applyAlignment="1">
      <alignment horizontal="center"/>
    </xf>
    <xf numFmtId="0" fontId="8" fillId="0" borderId="9" xfId="1" applyFont="1" applyFill="1" applyBorder="1"/>
    <xf numFmtId="0" fontId="8" fillId="0" borderId="13" xfId="0" applyFont="1" applyBorder="1" applyAlignment="1">
      <alignment horizontal="center" vertical="center"/>
    </xf>
    <xf numFmtId="0" fontId="0" fillId="0" borderId="14" xfId="0" applyBorder="1" applyAlignment="1">
      <alignment horizontal="center"/>
    </xf>
    <xf numFmtId="0" fontId="0" fillId="0" borderId="15" xfId="0" applyBorder="1" applyAlignment="1">
      <alignment horizontal="left"/>
    </xf>
    <xf numFmtId="0" fontId="8" fillId="0" borderId="15" xfId="1" applyFont="1" applyFill="1" applyBorder="1"/>
    <xf numFmtId="0" fontId="8" fillId="0" borderId="15" xfId="0" applyFont="1" applyBorder="1"/>
    <xf numFmtId="0" fontId="8" fillId="0" borderId="15" xfId="0" applyFont="1" applyBorder="1" applyAlignment="1">
      <alignment wrapText="1"/>
    </xf>
    <xf numFmtId="0" fontId="0" fillId="0" borderId="16" xfId="0" applyBorder="1" applyAlignment="1">
      <alignment horizontal="center" vertical="center"/>
    </xf>
    <xf numFmtId="0" fontId="8" fillId="0" borderId="14" xfId="0" applyFont="1" applyBorder="1" applyAlignment="1">
      <alignment horizontal="center"/>
    </xf>
    <xf numFmtId="0" fontId="8" fillId="0" borderId="15" xfId="0" applyFont="1" applyBorder="1" applyAlignment="1">
      <alignment horizontal="left"/>
    </xf>
    <xf numFmtId="0" fontId="8" fillId="0" borderId="16" xfId="0" applyFont="1" applyBorder="1" applyAlignment="1">
      <alignment horizontal="center" vertical="center"/>
    </xf>
    <xf numFmtId="0" fontId="0" fillId="0" borderId="17" xfId="0" applyBorder="1"/>
    <xf numFmtId="0" fontId="2" fillId="3" borderId="18" xfId="2" applyBorder="1"/>
    <xf numFmtId="0" fontId="1" fillId="2" borderId="15" xfId="1" applyBorder="1"/>
    <xf numFmtId="0" fontId="0" fillId="0" borderId="15" xfId="0" applyBorder="1"/>
    <xf numFmtId="0" fontId="0" fillId="0" borderId="14" xfId="0" applyBorder="1"/>
    <xf numFmtId="0" fontId="0" fillId="0" borderId="16" xfId="0" applyBorder="1" applyAlignment="1">
      <alignment vertical="center"/>
    </xf>
    <xf numFmtId="0" fontId="8" fillId="0" borderId="14" xfId="0" applyFont="1" applyBorder="1"/>
    <xf numFmtId="0" fontId="8" fillId="0" borderId="16" xfId="0" applyFont="1" applyBorder="1" applyAlignment="1">
      <alignment vertical="center"/>
    </xf>
    <xf numFmtId="0" fontId="0" fillId="0" borderId="18" xfId="0" applyBorder="1"/>
    <xf numFmtId="0" fontId="0" fillId="0" borderId="10" xfId="0" applyBorder="1" applyAlignment="1">
      <alignment horizontal="right" vertical="center"/>
    </xf>
    <xf numFmtId="0" fontId="8" fillId="0" borderId="10" xfId="0" applyFont="1" applyBorder="1" applyAlignment="1">
      <alignment horizontal="right" vertical="center"/>
    </xf>
    <xf numFmtId="0" fontId="8" fillId="0" borderId="15" xfId="1" applyFont="1" applyFill="1" applyBorder="1" applyAlignment="1">
      <alignment wrapText="1"/>
    </xf>
    <xf numFmtId="0" fontId="0" fillId="0" borderId="16" xfId="0" applyBorder="1" applyAlignment="1">
      <alignment horizontal="right" vertical="center"/>
    </xf>
    <xf numFmtId="0" fontId="8" fillId="0" borderId="16" xfId="0" applyFont="1" applyBorder="1" applyAlignment="1">
      <alignment horizontal="right" vertical="center"/>
    </xf>
    <xf numFmtId="0" fontId="0" fillId="0" borderId="19" xfId="0" applyBorder="1"/>
    <xf numFmtId="0" fontId="0" fillId="0" borderId="20" xfId="0" applyBorder="1" applyAlignment="1">
      <alignment horizontal="left"/>
    </xf>
    <xf numFmtId="0" fontId="8" fillId="0" borderId="20" xfId="0" applyFont="1" applyBorder="1"/>
    <xf numFmtId="0" fontId="8" fillId="0" borderId="20" xfId="0" applyFont="1" applyBorder="1" applyAlignment="1">
      <alignment wrapText="1"/>
    </xf>
    <xf numFmtId="0" fontId="0" fillId="0" borderId="21" xfId="0" applyBorder="1" applyAlignment="1">
      <alignment horizontal="right" vertical="center"/>
    </xf>
    <xf numFmtId="0" fontId="8" fillId="0" borderId="19" xfId="0" applyFont="1" applyBorder="1"/>
    <xf numFmtId="0" fontId="8" fillId="0" borderId="20" xfId="0" applyFont="1" applyBorder="1" applyAlignment="1">
      <alignment horizontal="left"/>
    </xf>
    <xf numFmtId="0" fontId="8" fillId="0" borderId="21" xfId="0" applyFont="1" applyBorder="1" applyAlignment="1">
      <alignment horizontal="right" vertical="center"/>
    </xf>
    <xf numFmtId="0" fontId="0" fillId="0" borderId="0" xfId="0" applyAlignment="1">
      <alignment horizontal="left"/>
    </xf>
    <xf numFmtId="0" fontId="8" fillId="0" borderId="0" xfId="0" applyFont="1" applyAlignment="1">
      <alignment wrapText="1"/>
    </xf>
    <xf numFmtId="0" fontId="0" fillId="0" borderId="0" xfId="0" applyAlignment="1">
      <alignment horizontal="right" vertical="center"/>
    </xf>
    <xf numFmtId="0" fontId="8" fillId="0" borderId="0" xfId="0" applyFont="1" applyAlignment="1">
      <alignment horizontal="left"/>
    </xf>
    <xf numFmtId="0" fontId="8" fillId="0" borderId="0" xfId="0" applyFont="1" applyAlignment="1">
      <alignment horizontal="right" vertical="center"/>
    </xf>
    <xf numFmtId="0" fontId="11" fillId="0" borderId="0" xfId="0" applyFont="1" applyAlignment="1">
      <alignment horizontal="left" vertical="center"/>
    </xf>
    <xf numFmtId="0" fontId="15" fillId="0" borderId="0" xfId="0" applyFont="1" applyAlignment="1">
      <alignment vertical="center"/>
    </xf>
    <xf numFmtId="0" fontId="13" fillId="0" borderId="0" xfId="0" applyFont="1" applyAlignment="1">
      <alignment horizontal="left" vertical="center"/>
    </xf>
    <xf numFmtId="0" fontId="16" fillId="0" borderId="22" xfId="0" applyFont="1" applyBorder="1" applyAlignment="1">
      <alignment horizontal="left"/>
    </xf>
    <xf numFmtId="0" fontId="1" fillId="2" borderId="22" xfId="1" applyBorder="1"/>
    <xf numFmtId="0" fontId="2" fillId="3" borderId="22" xfId="2" applyBorder="1"/>
    <xf numFmtId="0" fontId="8" fillId="0" borderId="23" xfId="2" applyFont="1" applyFill="1" applyBorder="1"/>
    <xf numFmtId="0" fontId="8" fillId="0" borderId="10" xfId="0" applyFont="1" applyBorder="1" applyAlignment="1">
      <alignment horizontal="center"/>
    </xf>
    <xf numFmtId="0" fontId="8" fillId="0" borderId="22" xfId="2" applyFont="1" applyFill="1" applyBorder="1"/>
    <xf numFmtId="0" fontId="2" fillId="0" borderId="23" xfId="2" applyFill="1" applyBorder="1"/>
    <xf numFmtId="0" fontId="8" fillId="0" borderId="17" xfId="0" applyFont="1" applyBorder="1"/>
    <xf numFmtId="0" fontId="8" fillId="0" borderId="16" xfId="0" applyFont="1" applyBorder="1" applyAlignment="1">
      <alignment horizontal="center"/>
    </xf>
    <xf numFmtId="0" fontId="8" fillId="0" borderId="11" xfId="0" applyFont="1" applyBorder="1"/>
    <xf numFmtId="0" fontId="8" fillId="0" borderId="13" xfId="0" applyFont="1" applyBorder="1" applyAlignment="1">
      <alignment horizontal="center"/>
    </xf>
    <xf numFmtId="0" fontId="8" fillId="0" borderId="24" xfId="0" applyFont="1" applyBorder="1"/>
    <xf numFmtId="0" fontId="8" fillId="0" borderId="21" xfId="0" applyFont="1" applyBorder="1"/>
    <xf numFmtId="0" fontId="0" fillId="0" borderId="25" xfId="0" applyBorder="1"/>
    <xf numFmtId="0" fontId="1" fillId="2" borderId="25" xfId="1" applyBorder="1"/>
    <xf numFmtId="0" fontId="8" fillId="0" borderId="11" xfId="1" applyFont="1" applyFill="1" applyBorder="1" applyAlignment="1">
      <alignment vertical="center" wrapText="1"/>
    </xf>
    <xf numFmtId="0" fontId="0" fillId="0" borderId="13" xfId="0" applyBorder="1" applyAlignment="1">
      <alignment horizontal="right" vertical="center"/>
    </xf>
    <xf numFmtId="0" fontId="8" fillId="0" borderId="11" xfId="1" applyFont="1" applyFill="1" applyBorder="1" applyAlignment="1">
      <alignment horizontal="center" vertical="center" wrapText="1"/>
    </xf>
    <xf numFmtId="0" fontId="8" fillId="0" borderId="13" xfId="0" applyFont="1" applyBorder="1" applyAlignment="1">
      <alignment horizontal="right" vertical="center"/>
    </xf>
    <xf numFmtId="0" fontId="8" fillId="0" borderId="17" xfId="1" applyFont="1" applyFill="1" applyBorder="1" applyAlignment="1">
      <alignment vertical="center" wrapText="1"/>
    </xf>
    <xf numFmtId="0" fontId="8" fillId="0" borderId="17" xfId="1" applyFont="1" applyFill="1" applyBorder="1" applyAlignment="1">
      <alignment horizontal="center" vertical="center" wrapText="1"/>
    </xf>
    <xf numFmtId="0" fontId="0" fillId="0" borderId="22" xfId="0" applyBorder="1" applyAlignment="1">
      <alignment horizontal="left"/>
    </xf>
    <xf numFmtId="0" fontId="4" fillId="0" borderId="22" xfId="2" applyFont="1" applyFill="1" applyBorder="1"/>
    <xf numFmtId="0" fontId="0" fillId="0" borderId="10" xfId="0" applyBorder="1" applyAlignment="1">
      <alignment horizontal="center"/>
    </xf>
    <xf numFmtId="0" fontId="0" fillId="0" borderId="22" xfId="0" applyBorder="1"/>
    <xf numFmtId="0" fontId="0" fillId="0" borderId="8" xfId="0" applyBorder="1"/>
    <xf numFmtId="0" fontId="0" fillId="0" borderId="15" xfId="0" quotePrefix="1" applyBorder="1" applyAlignment="1">
      <alignment horizontal="left"/>
    </xf>
    <xf numFmtId="0" fontId="4" fillId="0" borderId="15" xfId="2" applyFont="1" applyFill="1" applyBorder="1"/>
    <xf numFmtId="0" fontId="8" fillId="0" borderId="15" xfId="2" applyFont="1" applyFill="1" applyBorder="1"/>
    <xf numFmtId="0" fontId="0" fillId="0" borderId="16" xfId="0" applyBorder="1" applyAlignment="1">
      <alignment horizontal="center"/>
    </xf>
    <xf numFmtId="17" fontId="0" fillId="0" borderId="15" xfId="0" quotePrefix="1" applyNumberFormat="1" applyBorder="1" applyAlignment="1">
      <alignment horizontal="left"/>
    </xf>
    <xf numFmtId="0" fontId="8" fillId="0" borderId="17" xfId="2" applyFont="1" applyFill="1" applyBorder="1"/>
    <xf numFmtId="0" fontId="0" fillId="0" borderId="26" xfId="0" applyBorder="1"/>
    <xf numFmtId="0" fontId="8" fillId="0" borderId="9" xfId="2" applyFont="1" applyFill="1" applyBorder="1"/>
    <xf numFmtId="0" fontId="0" fillId="0" borderId="27" xfId="0" applyBorder="1" applyAlignment="1">
      <alignment horizontal="center"/>
    </xf>
    <xf numFmtId="0" fontId="0" fillId="0" borderId="26" xfId="0" applyBorder="1" applyAlignment="1">
      <alignment horizontal="center"/>
    </xf>
    <xf numFmtId="0" fontId="17" fillId="0" borderId="22" xfId="0" applyFont="1" applyBorder="1" applyAlignment="1">
      <alignment horizontal="left"/>
    </xf>
    <xf numFmtId="0" fontId="8" fillId="0" borderId="22" xfId="0" applyFont="1" applyBorder="1"/>
    <xf numFmtId="0" fontId="8" fillId="0" borderId="28" xfId="0" applyFont="1" applyBorder="1"/>
    <xf numFmtId="0" fontId="8" fillId="0" borderId="0" xfId="2" applyFont="1" applyFill="1" applyBorder="1"/>
    <xf numFmtId="0" fontId="8" fillId="0" borderId="18" xfId="1" applyFont="1" applyFill="1" applyBorder="1"/>
    <xf numFmtId="0" fontId="8" fillId="0" borderId="18" xfId="0" applyFont="1" applyBorder="1"/>
    <xf numFmtId="0" fontId="8" fillId="0" borderId="0" xfId="1" applyFont="1" applyFill="1" applyBorder="1"/>
    <xf numFmtId="0" fontId="8" fillId="0" borderId="11" xfId="1" applyFont="1" applyFill="1" applyBorder="1" applyAlignment="1"/>
    <xf numFmtId="0" fontId="8" fillId="0" borderId="17" xfId="1" applyFont="1" applyFill="1" applyBorder="1" applyAlignment="1"/>
    <xf numFmtId="0" fontId="8" fillId="0" borderId="27" xfId="0" applyFont="1" applyBorder="1" applyAlignment="1">
      <alignment horizontal="center"/>
    </xf>
    <xf numFmtId="0" fontId="2" fillId="3" borderId="15" xfId="2" applyBorder="1"/>
    <xf numFmtId="0" fontId="8" fillId="0" borderId="26" xfId="0" applyFont="1" applyBorder="1" applyAlignment="1">
      <alignment horizontal="center"/>
    </xf>
    <xf numFmtId="0" fontId="8" fillId="0" borderId="11" xfId="1" applyFont="1" applyFill="1" applyBorder="1" applyAlignment="1">
      <alignment wrapText="1"/>
    </xf>
    <xf numFmtId="0" fontId="0" fillId="0" borderId="29" xfId="0" applyBorder="1" applyAlignment="1">
      <alignment horizontal="center"/>
    </xf>
    <xf numFmtId="0" fontId="8" fillId="0" borderId="29" xfId="0" applyFont="1" applyBorder="1" applyAlignment="1">
      <alignment horizontal="center"/>
    </xf>
    <xf numFmtId="0" fontId="8" fillId="0" borderId="17" xfId="1" applyFont="1" applyFill="1" applyBorder="1" applyAlignment="1">
      <alignment wrapText="1"/>
    </xf>
    <xf numFmtId="0" fontId="0" fillId="0" borderId="21" xfId="0" applyBorder="1"/>
    <xf numFmtId="0" fontId="18" fillId="0" borderId="0" xfId="0" applyFont="1"/>
    <xf numFmtId="0" fontId="19" fillId="0" borderId="0" xfId="0" applyFont="1" applyAlignment="1">
      <alignment horizontal="left" vertical="center"/>
    </xf>
    <xf numFmtId="0" fontId="19" fillId="0" borderId="0" xfId="0" applyFont="1" applyAlignment="1">
      <alignment vertical="center"/>
    </xf>
    <xf numFmtId="0" fontId="8" fillId="0" borderId="23" xfId="0" applyFont="1" applyBorder="1"/>
    <xf numFmtId="0" fontId="7" fillId="0" borderId="8" xfId="0" applyFont="1" applyBorder="1"/>
    <xf numFmtId="0" fontId="20" fillId="0" borderId="22" xfId="0" applyFont="1" applyBorder="1" applyAlignment="1">
      <alignment horizontal="left"/>
    </xf>
    <xf numFmtId="0" fontId="7" fillId="0" borderId="22" xfId="0" applyFont="1" applyBorder="1"/>
    <xf numFmtId="0" fontId="7" fillId="0" borderId="23" xfId="0" applyFont="1" applyBorder="1"/>
    <xf numFmtId="0" fontId="7" fillId="0" borderId="27" xfId="0" applyFont="1" applyBorder="1"/>
    <xf numFmtId="0" fontId="7" fillId="0" borderId="12" xfId="0" applyFont="1" applyBorder="1"/>
    <xf numFmtId="0" fontId="7" fillId="0" borderId="9" xfId="0" applyFont="1" applyBorder="1" applyAlignment="1">
      <alignment horizontal="left"/>
    </xf>
    <xf numFmtId="0" fontId="7" fillId="0" borderId="9" xfId="1" applyFont="1" applyFill="1" applyBorder="1"/>
    <xf numFmtId="0" fontId="7" fillId="0" borderId="9" xfId="0" applyFont="1" applyBorder="1"/>
    <xf numFmtId="0" fontId="7" fillId="0" borderId="11" xfId="0" applyFont="1" applyBorder="1"/>
    <xf numFmtId="0" fontId="7" fillId="0" borderId="29" xfId="0" applyFont="1" applyBorder="1"/>
    <xf numFmtId="0" fontId="7" fillId="0" borderId="11" xfId="2" applyFont="1" applyFill="1" applyBorder="1"/>
    <xf numFmtId="0" fontId="8" fillId="0" borderId="30" xfId="0" applyFont="1" applyBorder="1"/>
    <xf numFmtId="0" fontId="8" fillId="0" borderId="7" xfId="0" applyFont="1" applyBorder="1" applyAlignment="1">
      <alignment horizontal="left"/>
    </xf>
    <xf numFmtId="0" fontId="8" fillId="0" borderId="5" xfId="0" applyFont="1" applyBorder="1"/>
    <xf numFmtId="0" fontId="8" fillId="0" borderId="31" xfId="0" applyFont="1" applyBorder="1"/>
    <xf numFmtId="0" fontId="8" fillId="0" borderId="17" xfId="1" applyFont="1" applyFill="1" applyBorder="1"/>
    <xf numFmtId="0" fontId="7" fillId="0" borderId="14" xfId="0" applyFont="1" applyBorder="1"/>
    <xf numFmtId="0" fontId="7" fillId="0" borderId="15" xfId="0" applyFont="1" applyBorder="1" applyAlignment="1">
      <alignment horizontal="left"/>
    </xf>
    <xf numFmtId="0" fontId="7" fillId="0" borderId="15" xfId="0" applyFont="1" applyBorder="1"/>
    <xf numFmtId="0" fontId="7" fillId="0" borderId="15" xfId="1" applyFont="1" applyFill="1" applyBorder="1"/>
    <xf numFmtId="0" fontId="7" fillId="0" borderId="17" xfId="1" applyFont="1" applyFill="1" applyBorder="1"/>
    <xf numFmtId="0" fontId="7" fillId="0" borderId="26" xfId="0" applyFont="1" applyBorder="1"/>
    <xf numFmtId="0" fontId="8" fillId="0" borderId="16" xfId="0" applyFont="1" applyBorder="1"/>
    <xf numFmtId="0" fontId="7" fillId="0" borderId="19" xfId="0" applyFont="1" applyBorder="1"/>
    <xf numFmtId="0" fontId="7" fillId="0" borderId="20" xfId="0" applyFont="1" applyBorder="1" applyAlignment="1">
      <alignment horizontal="left"/>
    </xf>
    <xf numFmtId="0" fontId="7" fillId="0" borderId="20" xfId="0" applyFont="1" applyBorder="1"/>
    <xf numFmtId="0" fontId="7" fillId="0" borderId="24" xfId="0" applyFont="1" applyBorder="1"/>
    <xf numFmtId="0" fontId="7" fillId="0" borderId="21" xfId="0" applyFont="1" applyBorder="1"/>
    <xf numFmtId="0" fontId="0" fillId="0" borderId="13" xfId="0" applyBorder="1" applyAlignment="1">
      <alignment horizontal="center"/>
    </xf>
    <xf numFmtId="0" fontId="0" fillId="0" borderId="20" xfId="0" applyBorder="1"/>
    <xf numFmtId="0" fontId="0" fillId="0" borderId="24" xfId="0" applyBorder="1"/>
    <xf numFmtId="0" fontId="0" fillId="0" borderId="4" xfId="0" applyBorder="1" applyAlignment="1">
      <alignment horizontal="left" vertical="center" wrapText="1"/>
    </xf>
    <xf numFmtId="0" fontId="17" fillId="0" borderId="9" xfId="0" applyFont="1" applyBorder="1" applyAlignment="1">
      <alignment horizontal="left"/>
    </xf>
    <xf numFmtId="0" fontId="1" fillId="2" borderId="9" xfId="1" applyBorder="1" applyAlignment="1">
      <alignment horizontal="right"/>
    </xf>
    <xf numFmtId="0" fontId="17" fillId="0" borderId="15" xfId="0" applyFont="1" applyBorder="1" applyAlignment="1">
      <alignment horizontal="left"/>
    </xf>
    <xf numFmtId="0" fontId="16" fillId="0" borderId="0" xfId="0" applyFont="1"/>
    <xf numFmtId="0" fontId="6" fillId="6" borderId="11" xfId="0" applyFont="1" applyFill="1" applyBorder="1"/>
    <xf numFmtId="0" fontId="5" fillId="0" borderId="0" xfId="0" applyFont="1" applyAlignment="1">
      <alignment horizontal="left"/>
    </xf>
    <xf numFmtId="0" fontId="0" fillId="0" borderId="32" xfId="0" applyBorder="1" applyAlignment="1">
      <alignment horizontal="left"/>
    </xf>
    <xf numFmtId="0" fontId="0" fillId="0" borderId="32" xfId="0" applyBorder="1"/>
    <xf numFmtId="0" fontId="0" fillId="0" borderId="23" xfId="0" applyBorder="1"/>
    <xf numFmtId="0" fontId="0" fillId="0" borderId="25" xfId="0" applyBorder="1" applyAlignment="1">
      <alignment horizontal="left"/>
    </xf>
    <xf numFmtId="0" fontId="0" fillId="0" borderId="17" xfId="0" applyBorder="1" applyAlignment="1">
      <alignment horizontal="left"/>
    </xf>
    <xf numFmtId="0" fontId="0" fillId="0" borderId="33" xfId="0" applyBorder="1" applyAlignment="1">
      <alignment horizontal="left"/>
    </xf>
    <xf numFmtId="0" fontId="0" fillId="0" borderId="33" xfId="0" applyBorder="1"/>
    <xf numFmtId="0" fontId="0" fillId="0" borderId="23" xfId="0" applyBorder="1" applyAlignment="1">
      <alignment horizontal="center"/>
    </xf>
    <xf numFmtId="0" fontId="0" fillId="0" borderId="17" xfId="0" applyBorder="1" applyAlignment="1">
      <alignment horizontal="center"/>
    </xf>
    <xf numFmtId="0" fontId="0" fillId="0" borderId="11" xfId="0" applyBorder="1" applyAlignment="1">
      <alignment horizontal="center"/>
    </xf>
    <xf numFmtId="0" fontId="3" fillId="4" borderId="17" xfId="3" applyBorder="1"/>
    <xf numFmtId="0" fontId="4" fillId="0" borderId="25" xfId="0" applyFont="1" applyBorder="1"/>
    <xf numFmtId="0" fontId="3" fillId="4" borderId="25" xfId="3" applyBorder="1"/>
    <xf numFmtId="0" fontId="3" fillId="4" borderId="11" xfId="3" applyBorder="1"/>
    <xf numFmtId="0" fontId="3" fillId="4" borderId="33" xfId="3" applyBorder="1"/>
    <xf numFmtId="0" fontId="0" fillId="0" borderId="32" xfId="0" applyBorder="1" applyAlignment="1">
      <alignment horizontal="center"/>
    </xf>
    <xf numFmtId="0" fontId="0" fillId="0" borderId="23" xfId="0" applyBorder="1" applyAlignment="1">
      <alignment horizontal="center"/>
    </xf>
    <xf numFmtId="0" fontId="0" fillId="0" borderId="22" xfId="0" applyBorder="1" applyAlignment="1">
      <alignment horizontal="center"/>
    </xf>
    <xf numFmtId="0" fontId="0" fillId="0" borderId="25" xfId="0" applyBorder="1" applyAlignment="1">
      <alignment horizontal="center"/>
    </xf>
    <xf numFmtId="0" fontId="0" fillId="0" borderId="11" xfId="0" applyBorder="1" applyAlignment="1">
      <alignment horizontal="center"/>
    </xf>
    <xf numFmtId="0" fontId="0" fillId="0" borderId="34" xfId="0" applyBorder="1" applyAlignment="1">
      <alignment horizontal="left"/>
    </xf>
    <xf numFmtId="0" fontId="0" fillId="0" borderId="34" xfId="0" applyBorder="1"/>
    <xf numFmtId="0" fontId="21" fillId="0" borderId="0" xfId="0" applyFont="1" applyAlignment="1">
      <alignment horizontal="left"/>
    </xf>
    <xf numFmtId="0" fontId="0" fillId="0" borderId="23" xfId="0" applyBorder="1" applyAlignment="1">
      <alignment horizontal="left"/>
    </xf>
    <xf numFmtId="0" fontId="7" fillId="0" borderId="23" xfId="0" applyFont="1" applyBorder="1" applyAlignment="1">
      <alignment horizontal="center"/>
    </xf>
    <xf numFmtId="0" fontId="7" fillId="0" borderId="22" xfId="0" applyFont="1" applyBorder="1" applyAlignment="1">
      <alignment horizontal="center"/>
    </xf>
    <xf numFmtId="0" fontId="0" fillId="0" borderId="11" xfId="0" applyBorder="1" applyAlignment="1">
      <alignment horizontal="left"/>
    </xf>
    <xf numFmtId="0" fontId="7" fillId="0" borderId="25" xfId="0" applyFont="1" applyBorder="1" applyAlignment="1">
      <alignment horizontal="center"/>
    </xf>
    <xf numFmtId="0" fontId="7" fillId="0" borderId="17" xfId="0" applyFont="1" applyBorder="1"/>
    <xf numFmtId="0" fontId="7" fillId="0" borderId="32" xfId="0" applyFont="1" applyBorder="1"/>
    <xf numFmtId="0" fontId="7" fillId="0" borderId="25" xfId="0" applyFont="1" applyBorder="1"/>
    <xf numFmtId="0" fontId="7" fillId="0" borderId="33" xfId="0" applyFont="1" applyBorder="1"/>
    <xf numFmtId="0" fontId="10" fillId="0" borderId="0" xfId="0" applyFont="1" applyAlignment="1">
      <alignment horizontal="left"/>
    </xf>
    <xf numFmtId="0" fontId="22" fillId="0" borderId="0" xfId="0" applyFont="1" applyAlignment="1">
      <alignment horizontal="left"/>
    </xf>
    <xf numFmtId="0" fontId="22" fillId="0" borderId="0" xfId="0" applyFont="1"/>
    <xf numFmtId="0" fontId="20" fillId="0" borderId="0" xfId="0" applyFont="1"/>
    <xf numFmtId="0" fontId="7" fillId="0" borderId="23" xfId="0" applyFont="1" applyBorder="1" applyAlignment="1">
      <alignment horizontal="left"/>
    </xf>
    <xf numFmtId="0" fontId="7" fillId="0" borderId="28" xfId="0" applyFont="1" applyBorder="1" applyAlignment="1">
      <alignment horizontal="center"/>
    </xf>
    <xf numFmtId="0" fontId="7" fillId="0" borderId="11" xfId="0" applyFont="1" applyBorder="1" applyAlignment="1">
      <alignment horizontal="left"/>
    </xf>
    <xf numFmtId="0" fontId="7" fillId="0" borderId="17" xfId="0" applyFont="1" applyBorder="1" applyAlignment="1">
      <alignment horizontal="left"/>
    </xf>
    <xf numFmtId="0" fontId="7" fillId="0" borderId="18" xfId="0" applyFont="1" applyBorder="1"/>
    <xf numFmtId="0" fontId="20" fillId="0" borderId="11" xfId="0" applyFont="1" applyBorder="1" applyAlignment="1">
      <alignment horizontal="left"/>
    </xf>
    <xf numFmtId="0" fontId="7" fillId="0" borderId="9" xfId="2" applyFont="1" applyFill="1" applyBorder="1"/>
    <xf numFmtId="0" fontId="7" fillId="0" borderId="0" xfId="1" applyFont="1" applyFill="1" applyBorder="1"/>
    <xf numFmtId="0" fontId="20" fillId="0" borderId="9" xfId="0" applyFont="1" applyBorder="1"/>
    <xf numFmtId="0" fontId="7" fillId="0" borderId="0" xfId="2" applyFont="1" applyFill="1" applyBorder="1"/>
    <xf numFmtId="0" fontId="7" fillId="0" borderId="18" xfId="2" applyFont="1" applyFill="1" applyBorder="1"/>
    <xf numFmtId="0" fontId="20" fillId="0" borderId="15" xfId="0" applyFont="1" applyBorder="1"/>
    <xf numFmtId="0" fontId="7" fillId="0" borderId="0" xfId="0" applyFont="1" applyAlignment="1">
      <alignment horizontal="left"/>
    </xf>
    <xf numFmtId="0" fontId="14" fillId="0" borderId="0" xfId="0" applyFont="1"/>
    <xf numFmtId="0" fontId="7" fillId="0" borderId="0" xfId="0" applyFont="1" applyAlignment="1">
      <alignment horizontal="center"/>
    </xf>
    <xf numFmtId="0" fontId="7" fillId="0" borderId="0" xfId="3" applyFont="1" applyFill="1" applyBorder="1"/>
    <xf numFmtId="0" fontId="7" fillId="0" borderId="18" xfId="3" applyFont="1" applyFill="1" applyBorder="1"/>
    <xf numFmtId="0" fontId="7" fillId="0" borderId="32" xfId="0" applyFont="1" applyBorder="1" applyAlignment="1">
      <alignment horizontal="center"/>
    </xf>
    <xf numFmtId="0" fontId="7" fillId="0" borderId="22" xfId="0" applyFont="1" applyBorder="1" applyAlignment="1">
      <alignment horizontal="center"/>
    </xf>
    <xf numFmtId="0" fontId="7" fillId="0" borderId="25" xfId="0" applyFont="1" applyBorder="1" applyAlignment="1">
      <alignment horizontal="left"/>
    </xf>
    <xf numFmtId="0" fontId="7" fillId="0" borderId="33" xfId="0" applyFont="1" applyBorder="1" applyAlignment="1">
      <alignment horizontal="left"/>
    </xf>
    <xf numFmtId="0" fontId="17" fillId="0" borderId="0" xfId="0" applyFont="1"/>
    <xf numFmtId="0" fontId="18" fillId="0" borderId="0" xfId="0" applyFont="1" applyAlignment="1">
      <alignment wrapText="1"/>
    </xf>
    <xf numFmtId="0" fontId="18" fillId="0" borderId="0" xfId="0" applyFont="1" applyAlignment="1">
      <alignment horizontal="right" vertical="center"/>
    </xf>
    <xf numFmtId="0" fontId="0" fillId="0" borderId="0" xfId="0" applyAlignment="1">
      <alignment horizontal="left" vertical="center" wrapText="1"/>
    </xf>
    <xf numFmtId="0" fontId="8" fillId="0" borderId="30" xfId="0" applyFont="1" applyBorder="1" applyAlignment="1">
      <alignment vertical="center" wrapText="1"/>
    </xf>
    <xf numFmtId="0" fontId="8" fillId="0" borderId="7" xfId="0" applyFont="1" applyBorder="1" applyAlignment="1">
      <alignment horizontal="left" wrapText="1"/>
    </xf>
    <xf numFmtId="0" fontId="2" fillId="3" borderId="7" xfId="2" applyBorder="1" applyAlignment="1">
      <alignment horizontal="left" wrapText="1"/>
    </xf>
    <xf numFmtId="0" fontId="8" fillId="0" borderId="5" xfId="2" applyFont="1" applyFill="1" applyBorder="1" applyAlignment="1">
      <alignment horizontal="left" wrapText="1"/>
    </xf>
    <xf numFmtId="0" fontId="8" fillId="0" borderId="31" xfId="0" applyFont="1" applyBorder="1" applyAlignment="1">
      <alignment vertical="center" wrapText="1"/>
    </xf>
    <xf numFmtId="0" fontId="1" fillId="2" borderId="7" xfId="1" applyBorder="1" applyAlignment="1">
      <alignment horizontal="left" wrapText="1"/>
    </xf>
    <xf numFmtId="0" fontId="8" fillId="0" borderId="7" xfId="2" applyFont="1" applyFill="1" applyBorder="1" applyAlignment="1">
      <alignment horizontal="left" wrapText="1"/>
    </xf>
    <xf numFmtId="0" fontId="7" fillId="0" borderId="8" xfId="0" applyFont="1" applyBorder="1" applyAlignment="1">
      <alignment horizontal="left" vertical="center" wrapText="1"/>
    </xf>
    <xf numFmtId="0" fontId="7" fillId="0" borderId="22" xfId="0" applyFont="1" applyBorder="1" applyAlignment="1">
      <alignment horizontal="left" wrapText="1"/>
    </xf>
    <xf numFmtId="0" fontId="7" fillId="0" borderId="22" xfId="2" applyFont="1" applyFill="1" applyBorder="1" applyAlignment="1">
      <alignment horizontal="left" wrapText="1"/>
    </xf>
    <xf numFmtId="0" fontId="7" fillId="0" borderId="23" xfId="2" applyFont="1" applyFill="1" applyBorder="1" applyAlignment="1">
      <alignment horizontal="left" wrapText="1"/>
    </xf>
    <xf numFmtId="0" fontId="7" fillId="0" borderId="27" xfId="0" applyFont="1" applyBorder="1" applyAlignment="1">
      <alignment horizontal="left" vertical="center" wrapText="1"/>
    </xf>
    <xf numFmtId="0" fontId="8" fillId="0" borderId="14" xfId="0" applyFont="1" applyBorder="1" applyAlignment="1">
      <alignment vertical="center" wrapText="1"/>
    </xf>
    <xf numFmtId="0" fontId="8" fillId="0" borderId="15" xfId="0" applyFont="1" applyBorder="1" applyAlignment="1">
      <alignment horizontal="left" wrapText="1"/>
    </xf>
    <xf numFmtId="0" fontId="8" fillId="0" borderId="17" xfId="0" applyFont="1" applyBorder="1" applyAlignment="1">
      <alignment horizontal="left" wrapText="1"/>
    </xf>
    <xf numFmtId="0" fontId="8" fillId="0" borderId="16" xfId="0" applyFont="1" applyBorder="1" applyAlignment="1">
      <alignment vertical="center" wrapText="1"/>
    </xf>
    <xf numFmtId="0" fontId="1" fillId="2" borderId="15" xfId="1" applyBorder="1" applyAlignment="1">
      <alignment horizontal="left" wrapText="1"/>
    </xf>
    <xf numFmtId="0" fontId="7" fillId="0" borderId="12" xfId="0" applyFont="1" applyBorder="1" applyAlignment="1">
      <alignment vertical="center" wrapText="1"/>
    </xf>
    <xf numFmtId="0" fontId="7" fillId="0" borderId="9" xfId="0" applyFont="1" applyBorder="1" applyAlignment="1">
      <alignment horizontal="left" wrapText="1"/>
    </xf>
    <xf numFmtId="0" fontId="7" fillId="0" borderId="29" xfId="0" applyFont="1" applyBorder="1" applyAlignment="1">
      <alignment vertical="center" wrapText="1"/>
    </xf>
    <xf numFmtId="0" fontId="8" fillId="0" borderId="8" xfId="0" applyFont="1" applyBorder="1" applyAlignment="1">
      <alignment horizontal="center" vertical="center" wrapText="1"/>
    </xf>
    <xf numFmtId="0" fontId="8" fillId="0" borderId="9" xfId="0" applyFont="1" applyBorder="1" applyAlignment="1">
      <alignment horizontal="left" wrapText="1"/>
    </xf>
    <xf numFmtId="0" fontId="8" fillId="0" borderId="11" xfId="0" applyFont="1" applyBorder="1" applyAlignment="1">
      <alignment horizontal="left" wrapText="1"/>
    </xf>
    <xf numFmtId="0" fontId="8" fillId="0" borderId="10" xfId="0" applyFont="1" applyBorder="1" applyAlignment="1">
      <alignment horizontal="center" vertical="center" wrapText="1"/>
    </xf>
    <xf numFmtId="0" fontId="2" fillId="3" borderId="9" xfId="2" applyBorder="1" applyAlignment="1">
      <alignment horizontal="left" wrapText="1"/>
    </xf>
    <xf numFmtId="0" fontId="7" fillId="0" borderId="11" xfId="0" applyFont="1" applyBorder="1" applyAlignment="1">
      <alignment horizontal="left" wrapText="1"/>
    </xf>
    <xf numFmtId="0" fontId="8" fillId="0" borderId="12" xfId="0" applyFont="1" applyBorder="1" applyAlignment="1">
      <alignment horizontal="center" vertical="center" wrapText="1"/>
    </xf>
    <xf numFmtId="0" fontId="1" fillId="2" borderId="9" xfId="1" applyBorder="1" applyAlignment="1">
      <alignment horizontal="left" wrapText="1"/>
    </xf>
    <xf numFmtId="0" fontId="8" fillId="0" borderId="13" xfId="0" applyFont="1" applyBorder="1" applyAlignment="1">
      <alignment horizontal="center" vertical="center" wrapText="1"/>
    </xf>
    <xf numFmtId="0" fontId="8" fillId="0" borderId="9" xfId="1" applyFont="1" applyFill="1" applyBorder="1" applyAlignment="1">
      <alignment horizontal="left" wrapText="1"/>
    </xf>
    <xf numFmtId="0" fontId="7" fillId="0" borderId="9" xfId="1" applyFont="1" applyFill="1" applyBorder="1" applyAlignment="1">
      <alignment horizontal="left" wrapText="1"/>
    </xf>
    <xf numFmtId="0" fontId="8" fillId="0" borderId="14" xfId="0" applyFont="1" applyBorder="1" applyAlignment="1">
      <alignment horizontal="center" vertical="center" wrapText="1"/>
    </xf>
    <xf numFmtId="0" fontId="8" fillId="0" borderId="15" xfId="0" applyFont="1" applyBorder="1" applyAlignment="1">
      <alignment horizontal="left" vertical="center" wrapText="1"/>
    </xf>
    <xf numFmtId="0" fontId="1" fillId="2" borderId="15" xfId="1" applyBorder="1" applyAlignment="1">
      <alignment horizontal="left" vertical="center" wrapText="1"/>
    </xf>
    <xf numFmtId="0" fontId="8" fillId="0" borderId="16" xfId="0" applyFont="1" applyBorder="1" applyAlignment="1">
      <alignment horizontal="center" vertical="center" wrapText="1"/>
    </xf>
    <xf numFmtId="0" fontId="8" fillId="0" borderId="15" xfId="1" applyFont="1" applyFill="1" applyBorder="1" applyAlignment="1">
      <alignment horizontal="left" vertical="center" wrapText="1"/>
    </xf>
    <xf numFmtId="0" fontId="7" fillId="0" borderId="14" xfId="0" applyFont="1" applyBorder="1" applyAlignment="1">
      <alignment vertical="center" wrapText="1"/>
    </xf>
    <xf numFmtId="0" fontId="7" fillId="0" borderId="15" xfId="0" applyFont="1" applyBorder="1" applyAlignment="1">
      <alignment horizontal="left" vertical="center" wrapText="1"/>
    </xf>
    <xf numFmtId="0" fontId="7" fillId="0" borderId="15" xfId="1" applyFont="1" applyFill="1" applyBorder="1" applyAlignment="1">
      <alignment horizontal="left" vertical="center" wrapText="1"/>
    </xf>
    <xf numFmtId="0" fontId="7" fillId="0" borderId="17" xfId="1" applyFont="1" applyFill="1" applyBorder="1" applyAlignment="1">
      <alignment vertical="center" wrapText="1"/>
    </xf>
    <xf numFmtId="0" fontId="7" fillId="0" borderId="26" xfId="0" applyFont="1" applyBorder="1" applyAlignment="1">
      <alignment vertical="center" wrapText="1"/>
    </xf>
    <xf numFmtId="0" fontId="8" fillId="0" borderId="19" xfId="0" applyFont="1" applyBorder="1" applyAlignment="1">
      <alignment horizontal="left" wrapText="1"/>
    </xf>
    <xf numFmtId="0" fontId="8" fillId="0" borderId="20" xfId="0" applyFont="1" applyBorder="1" applyAlignment="1">
      <alignment horizontal="left" wrapText="1"/>
    </xf>
    <xf numFmtId="0" fontId="8" fillId="0" borderId="24" xfId="0" applyFont="1" applyBorder="1" applyAlignment="1">
      <alignment horizontal="left" wrapText="1"/>
    </xf>
    <xf numFmtId="0" fontId="8" fillId="0" borderId="21" xfId="0" applyFont="1" applyBorder="1" applyAlignment="1">
      <alignment horizontal="left" wrapText="1"/>
    </xf>
    <xf numFmtId="0" fontId="0" fillId="0" borderId="0" xfId="0" applyAlignment="1">
      <alignment horizontal="left" wrapText="1"/>
    </xf>
    <xf numFmtId="0" fontId="7" fillId="0" borderId="19" xfId="0" applyFont="1" applyBorder="1" applyAlignment="1">
      <alignment horizontal="left" wrapText="1"/>
    </xf>
    <xf numFmtId="0" fontId="7" fillId="0" borderId="20" xfId="0" applyFont="1" applyBorder="1" applyAlignment="1">
      <alignment horizontal="left" wrapText="1"/>
    </xf>
    <xf numFmtId="0" fontId="7" fillId="0" borderId="24" xfId="0" applyFont="1" applyBorder="1" applyAlignment="1">
      <alignment horizontal="left" wrapText="1"/>
    </xf>
    <xf numFmtId="0" fontId="7" fillId="0" borderId="21" xfId="0" applyFont="1" applyBorder="1" applyAlignment="1">
      <alignment horizontal="left" wrapText="1"/>
    </xf>
    <xf numFmtId="0" fontId="8" fillId="0" borderId="15" xfId="2" applyFont="1" applyFill="1" applyBorder="1" applyAlignment="1">
      <alignment horizontal="left" vertical="center" wrapText="1"/>
    </xf>
    <xf numFmtId="0" fontId="8" fillId="0" borderId="17" xfId="1" applyFont="1" applyFill="1" applyBorder="1" applyAlignment="1">
      <alignment horizontal="left" wrapText="1"/>
    </xf>
    <xf numFmtId="0" fontId="8" fillId="0" borderId="12" xfId="0" applyFont="1" applyBorder="1" applyAlignment="1">
      <alignment horizontal="left" vertical="center" wrapText="1"/>
    </xf>
    <xf numFmtId="0" fontId="8" fillId="0" borderId="23" xfId="2" applyFont="1" applyFill="1" applyBorder="1" applyAlignment="1">
      <alignment horizontal="left"/>
    </xf>
    <xf numFmtId="0" fontId="8" fillId="0" borderId="29" xfId="0" applyFont="1" applyBorder="1" applyAlignment="1">
      <alignment horizontal="left" vertical="center" wrapText="1"/>
    </xf>
    <xf numFmtId="0" fontId="8" fillId="0" borderId="9" xfId="2" applyFont="1" applyFill="1" applyBorder="1" applyAlignment="1">
      <alignment horizontal="left" wrapText="1"/>
    </xf>
    <xf numFmtId="0" fontId="8" fillId="0" borderId="14" xfId="0" applyFont="1" applyBorder="1" applyAlignment="1">
      <alignment horizontal="left" vertical="center" wrapText="1"/>
    </xf>
    <xf numFmtId="0" fontId="8" fillId="0" borderId="15" xfId="1" applyFont="1" applyFill="1" applyBorder="1" applyAlignment="1">
      <alignment horizontal="left" wrapText="1"/>
    </xf>
    <xf numFmtId="0" fontId="8" fillId="0" borderId="26" xfId="0" applyFont="1" applyBorder="1" applyAlignment="1">
      <alignment horizontal="left" vertical="center" wrapText="1"/>
    </xf>
    <xf numFmtId="0" fontId="8" fillId="0" borderId="27" xfId="0" applyFont="1" applyBorder="1" applyAlignment="1">
      <alignment horizontal="center" vertical="center" wrapText="1"/>
    </xf>
    <xf numFmtId="0" fontId="8" fillId="0" borderId="26" xfId="0" applyFont="1" applyBorder="1" applyAlignment="1">
      <alignment horizontal="center" vertical="center" wrapText="1"/>
    </xf>
    <xf numFmtId="0" fontId="15" fillId="0" borderId="0" xfId="0" applyFont="1"/>
    <xf numFmtId="0" fontId="7" fillId="0" borderId="1" xfId="0" applyFont="1" applyBorder="1" applyAlignment="1">
      <alignment horizontal="left" wrapText="1"/>
    </xf>
    <xf numFmtId="0" fontId="7" fillId="0" borderId="2" xfId="0" applyFont="1" applyBorder="1" applyAlignment="1">
      <alignment horizontal="left" wrapText="1"/>
    </xf>
    <xf numFmtId="0" fontId="7" fillId="0" borderId="3" xfId="0" applyFont="1" applyBorder="1" applyAlignment="1">
      <alignment horizontal="left" wrapText="1"/>
    </xf>
    <xf numFmtId="0" fontId="7" fillId="0" borderId="4" xfId="0" applyFont="1" applyBorder="1" applyAlignment="1">
      <alignment vertical="center" wrapText="1"/>
    </xf>
    <xf numFmtId="0" fontId="1" fillId="2" borderId="7" xfId="1" applyBorder="1" applyAlignment="1">
      <alignment horizontal="left"/>
    </xf>
    <xf numFmtId="0" fontId="2" fillId="3" borderId="7" xfId="2" applyBorder="1" applyAlignment="1">
      <alignment horizontal="left"/>
    </xf>
    <xf numFmtId="0" fontId="8" fillId="0" borderId="5" xfId="2" applyFont="1" applyFill="1" applyBorder="1" applyAlignment="1">
      <alignment horizontal="left"/>
    </xf>
    <xf numFmtId="0" fontId="8" fillId="0" borderId="31" xfId="0" applyFont="1" applyBorder="1" applyAlignment="1">
      <alignment vertical="center"/>
    </xf>
    <xf numFmtId="0" fontId="8" fillId="0" borderId="7" xfId="2" applyFont="1" applyFill="1" applyBorder="1" applyAlignment="1">
      <alignment horizontal="left"/>
    </xf>
    <xf numFmtId="0" fontId="7" fillId="0" borderId="8" xfId="0" applyFont="1" applyBorder="1" applyAlignment="1">
      <alignment vertical="center" wrapText="1"/>
    </xf>
    <xf numFmtId="0" fontId="7" fillId="0" borderId="22" xfId="0" applyFont="1" applyBorder="1" applyAlignment="1">
      <alignment horizontal="left"/>
    </xf>
    <xf numFmtId="0" fontId="7" fillId="0" borderId="22" xfId="1" applyFont="1" applyFill="1" applyBorder="1" applyAlignment="1">
      <alignment horizontal="left"/>
    </xf>
    <xf numFmtId="0" fontId="7" fillId="0" borderId="22" xfId="2" applyFont="1" applyFill="1" applyBorder="1" applyAlignment="1">
      <alignment horizontal="left"/>
    </xf>
    <xf numFmtId="0" fontId="7" fillId="0" borderId="23" xfId="2" applyFont="1" applyFill="1" applyBorder="1" applyAlignment="1">
      <alignment horizontal="left"/>
    </xf>
    <xf numFmtId="0" fontId="7" fillId="0" borderId="10" xfId="0" applyFont="1" applyBorder="1" applyAlignment="1">
      <alignment vertical="center"/>
    </xf>
    <xf numFmtId="0" fontId="8" fillId="0" borderId="17" xfId="0" applyFont="1" applyBorder="1" applyAlignment="1">
      <alignment horizontal="left"/>
    </xf>
    <xf numFmtId="0" fontId="7" fillId="0" borderId="13" xfId="0" applyFont="1" applyBorder="1" applyAlignment="1">
      <alignment vertical="center"/>
    </xf>
    <xf numFmtId="0" fontId="8" fillId="0" borderId="11" xfId="0" applyFont="1" applyBorder="1" applyAlignment="1">
      <alignment horizontal="left"/>
    </xf>
    <xf numFmtId="0" fontId="2" fillId="3" borderId="9" xfId="2" applyBorder="1" applyAlignment="1">
      <alignment horizontal="left"/>
    </xf>
    <xf numFmtId="0" fontId="7" fillId="0" borderId="29" xfId="0" applyFont="1" applyBorder="1" applyAlignment="1">
      <alignment vertical="center"/>
    </xf>
    <xf numFmtId="0" fontId="1" fillId="2" borderId="15" xfId="1" applyBorder="1" applyAlignment="1">
      <alignment horizontal="left"/>
    </xf>
    <xf numFmtId="0" fontId="2" fillId="3" borderId="15" xfId="2" applyBorder="1" applyAlignment="1">
      <alignment horizontal="left"/>
    </xf>
    <xf numFmtId="0" fontId="8" fillId="0" borderId="15" xfId="1" applyFont="1" applyFill="1" applyBorder="1" applyAlignment="1">
      <alignment horizontal="left"/>
    </xf>
    <xf numFmtId="0" fontId="7" fillId="0" borderId="15" xfId="1" applyFont="1" applyFill="1" applyBorder="1" applyAlignment="1">
      <alignment horizontal="left"/>
    </xf>
    <xf numFmtId="0" fontId="7" fillId="0" borderId="17" xfId="1" applyFont="1" applyFill="1" applyBorder="1" applyAlignment="1">
      <alignment horizontal="left" wrapText="1"/>
    </xf>
    <xf numFmtId="0" fontId="7" fillId="0" borderId="16" xfId="0" applyFont="1" applyBorder="1" applyAlignment="1">
      <alignment vertical="center"/>
    </xf>
    <xf numFmtId="0" fontId="8" fillId="0" borderId="24" xfId="0" applyFont="1" applyBorder="1" applyAlignment="1">
      <alignment horizontal="left"/>
    </xf>
    <xf numFmtId="0" fontId="7" fillId="0" borderId="24" xfId="0" applyFont="1" applyBorder="1" applyAlignment="1">
      <alignment horizontal="left"/>
    </xf>
    <xf numFmtId="0" fontId="7" fillId="0" borderId="21" xfId="0" applyFont="1" applyBorder="1" applyAlignment="1">
      <alignment horizontal="right" vertical="center"/>
    </xf>
    <xf numFmtId="0" fontId="7" fillId="0" borderId="35" xfId="0" applyFont="1" applyBorder="1" applyAlignment="1">
      <alignment horizontal="left" wrapText="1"/>
    </xf>
    <xf numFmtId="0" fontId="7" fillId="0" borderId="36" xfId="0" applyFont="1" applyBorder="1" applyAlignment="1">
      <alignment horizontal="left" wrapText="1"/>
    </xf>
    <xf numFmtId="0" fontId="7" fillId="0" borderId="37" xfId="0" applyFont="1" applyBorder="1" applyAlignment="1">
      <alignment horizontal="left" wrapText="1"/>
    </xf>
    <xf numFmtId="0" fontId="7" fillId="0" borderId="38" xfId="0" applyFont="1" applyBorder="1" applyAlignment="1">
      <alignment vertical="center" wrapText="1"/>
    </xf>
    <xf numFmtId="0" fontId="8" fillId="0" borderId="0" xfId="2" applyFont="1" applyFill="1" applyBorder="1" applyAlignment="1">
      <alignment horizontal="left" wrapText="1"/>
    </xf>
    <xf numFmtId="0" fontId="7" fillId="0" borderId="9" xfId="2" applyFont="1" applyFill="1" applyBorder="1" applyAlignment="1">
      <alignment horizontal="left" wrapText="1"/>
    </xf>
    <xf numFmtId="0" fontId="8" fillId="0" borderId="17" xfId="2" applyFont="1" applyFill="1" applyBorder="1" applyAlignment="1">
      <alignment horizontal="left" wrapText="1"/>
    </xf>
    <xf numFmtId="0" fontId="8" fillId="0" borderId="33" xfId="2" applyFont="1" applyFill="1" applyBorder="1" applyAlignment="1">
      <alignment horizontal="left" wrapText="1"/>
    </xf>
    <xf numFmtId="0" fontId="8" fillId="0" borderId="14" xfId="0" applyFont="1" applyBorder="1" applyAlignment="1">
      <alignment horizontal="center" vertical="center" wrapText="1"/>
    </xf>
    <xf numFmtId="0" fontId="8" fillId="0" borderId="18" xfId="1" applyFont="1" applyFill="1" applyBorder="1" applyAlignment="1">
      <alignment horizontal="left" wrapText="1"/>
    </xf>
    <xf numFmtId="0" fontId="8" fillId="0" borderId="16" xfId="0" applyFont="1" applyBorder="1" applyAlignment="1">
      <alignment horizontal="center" vertical="center" wrapText="1"/>
    </xf>
    <xf numFmtId="0" fontId="7" fillId="0" borderId="14" xfId="0" applyFont="1" applyBorder="1" applyAlignment="1">
      <alignment horizontal="center" vertical="center" wrapText="1"/>
    </xf>
    <xf numFmtId="0" fontId="7" fillId="0" borderId="15" xfId="0" applyFont="1" applyBorder="1" applyAlignment="1">
      <alignment horizontal="left" wrapText="1"/>
    </xf>
    <xf numFmtId="0" fontId="7" fillId="0" borderId="15" xfId="1" applyFont="1" applyFill="1" applyBorder="1" applyAlignment="1">
      <alignment horizontal="left" wrapText="1"/>
    </xf>
    <xf numFmtId="0" fontId="7" fillId="0" borderId="16" xfId="0" applyFont="1" applyBorder="1" applyAlignment="1">
      <alignment horizontal="center" vertical="center" wrapText="1"/>
    </xf>
    <xf numFmtId="0" fontId="8" fillId="0" borderId="39" xfId="0" applyFont="1" applyBorder="1" applyAlignment="1">
      <alignment horizontal="left" wrapText="1"/>
    </xf>
    <xf numFmtId="0" fontId="7" fillId="0" borderId="39" xfId="0" applyFont="1" applyBorder="1" applyAlignment="1">
      <alignment horizontal="left" wrapText="1"/>
    </xf>
    <xf numFmtId="0" fontId="7" fillId="0" borderId="0" xfId="2" applyFont="1" applyFill="1" applyBorder="1" applyAlignment="1">
      <alignment horizontal="left" wrapText="1"/>
    </xf>
    <xf numFmtId="0" fontId="7" fillId="0" borderId="10" xfId="0" applyFont="1" applyBorder="1" applyAlignment="1">
      <alignment vertical="center" wrapText="1"/>
    </xf>
    <xf numFmtId="17" fontId="8" fillId="0" borderId="15" xfId="0" quotePrefix="1" applyNumberFormat="1" applyFont="1" applyBorder="1" applyAlignment="1">
      <alignment horizontal="left" wrapText="1"/>
    </xf>
    <xf numFmtId="0" fontId="8" fillId="0" borderId="18" xfId="0" applyFont="1" applyBorder="1" applyAlignment="1">
      <alignment horizontal="left" wrapText="1"/>
    </xf>
    <xf numFmtId="17" fontId="7" fillId="0" borderId="9" xfId="0" quotePrefix="1" applyNumberFormat="1" applyFont="1" applyBorder="1" applyAlignment="1">
      <alignment horizontal="left" wrapText="1"/>
    </xf>
    <xf numFmtId="0" fontId="7" fillId="0" borderId="0" xfId="0" applyFont="1" applyAlignment="1">
      <alignment horizontal="left" wrapText="1"/>
    </xf>
    <xf numFmtId="0" fontId="7" fillId="0" borderId="13" xfId="0" applyFont="1" applyBorder="1" applyAlignment="1">
      <alignment vertical="center" wrapText="1"/>
    </xf>
    <xf numFmtId="0" fontId="8" fillId="0" borderId="9" xfId="0" quotePrefix="1" applyFont="1" applyBorder="1" applyAlignment="1">
      <alignment horizontal="left" wrapText="1"/>
    </xf>
    <xf numFmtId="0" fontId="8" fillId="0" borderId="0" xfId="0" applyFont="1" applyAlignment="1">
      <alignment horizontal="left" wrapText="1"/>
    </xf>
    <xf numFmtId="0" fontId="8" fillId="0" borderId="12" xfId="0" applyFont="1" applyBorder="1" applyAlignment="1">
      <alignment vertical="center" wrapText="1"/>
    </xf>
    <xf numFmtId="0" fontId="7" fillId="0" borderId="9" xfId="0" quotePrefix="1" applyFont="1" applyBorder="1" applyAlignment="1">
      <alignment horizontal="left" wrapText="1"/>
    </xf>
    <xf numFmtId="0" fontId="7" fillId="0" borderId="18" xfId="1" applyFont="1" applyFill="1" applyBorder="1" applyAlignment="1">
      <alignment horizontal="left" wrapText="1"/>
    </xf>
    <xf numFmtId="0" fontId="7" fillId="0" borderId="16" xfId="0" applyFont="1" applyBorder="1" applyAlignment="1">
      <alignment vertical="center" wrapText="1"/>
    </xf>
    <xf numFmtId="0" fontId="8" fillId="0" borderId="22" xfId="0" applyFont="1" applyBorder="1" applyAlignment="1">
      <alignment horizontal="left" wrapText="1"/>
    </xf>
    <xf numFmtId="0" fontId="1" fillId="2" borderId="22" xfId="1" applyBorder="1" applyAlignment="1">
      <alignment horizontal="left" wrapText="1"/>
    </xf>
    <xf numFmtId="0" fontId="8" fillId="0" borderId="22" xfId="2" applyFont="1" applyFill="1" applyBorder="1" applyAlignment="1">
      <alignment horizontal="left" wrapText="1"/>
    </xf>
    <xf numFmtId="0" fontId="8" fillId="0" borderId="28" xfId="2" applyFont="1" applyFill="1" applyBorder="1" applyAlignment="1">
      <alignment horizontal="left" wrapText="1"/>
    </xf>
    <xf numFmtId="0" fontId="8" fillId="0" borderId="15" xfId="2" applyFont="1" applyFill="1" applyBorder="1" applyAlignment="1">
      <alignment horizontal="left" wrapText="1"/>
    </xf>
    <xf numFmtId="0" fontId="8" fillId="0" borderId="18" xfId="2" applyFont="1" applyFill="1" applyBorder="1" applyAlignment="1">
      <alignment horizontal="left" wrapText="1"/>
    </xf>
    <xf numFmtId="0" fontId="8" fillId="0" borderId="29" xfId="0" applyFont="1" applyBorder="1" applyAlignment="1">
      <alignment horizontal="center" vertical="center" wrapText="1"/>
    </xf>
    <xf numFmtId="0" fontId="8" fillId="0" borderId="15" xfId="0" quotePrefix="1" applyFont="1" applyBorder="1" applyAlignment="1">
      <alignment horizontal="left" wrapText="1"/>
    </xf>
    <xf numFmtId="0" fontId="8" fillId="0" borderId="33" xfId="0" applyFont="1" applyBorder="1" applyAlignment="1">
      <alignment horizontal="left" wrapText="1"/>
    </xf>
    <xf numFmtId="0" fontId="8" fillId="0" borderId="22" xfId="1" applyFont="1" applyFill="1" applyBorder="1" applyAlignment="1">
      <alignment horizontal="left" wrapText="1"/>
    </xf>
    <xf numFmtId="0" fontId="7" fillId="0" borderId="22" xfId="1" applyFont="1" applyFill="1" applyBorder="1" applyAlignment="1">
      <alignment horizontal="left" wrapText="1"/>
    </xf>
    <xf numFmtId="0" fontId="7" fillId="0" borderId="28" xfId="2" applyFont="1" applyFill="1" applyBorder="1" applyAlignment="1">
      <alignment horizontal="left" wrapText="1"/>
    </xf>
    <xf numFmtId="0" fontId="7" fillId="0" borderId="17" xfId="0" applyFont="1" applyBorder="1" applyAlignment="1">
      <alignment horizontal="left" wrapText="1"/>
    </xf>
    <xf numFmtId="0" fontId="7" fillId="0" borderId="33" xfId="0" applyFont="1" applyBorder="1" applyAlignment="1">
      <alignment horizontal="left" wrapText="1"/>
    </xf>
    <xf numFmtId="0" fontId="19" fillId="0" borderId="0" xfId="0" applyFont="1" applyAlignment="1">
      <alignment horizontal="left"/>
    </xf>
    <xf numFmtId="0" fontId="19" fillId="0" borderId="0" xfId="0" applyFont="1"/>
    <xf numFmtId="0" fontId="11" fillId="0" borderId="0" xfId="0" applyFont="1"/>
    <xf numFmtId="0" fontId="11" fillId="0" borderId="0" xfId="0" applyFont="1" applyAlignment="1">
      <alignment horizontal="left"/>
    </xf>
    <xf numFmtId="0" fontId="0" fillId="0" borderId="16" xfId="0" applyBorder="1"/>
    <xf numFmtId="0" fontId="0" fillId="0" borderId="39" xfId="0" applyBorder="1"/>
    <xf numFmtId="0" fontId="7" fillId="0" borderId="28" xfId="0" applyFont="1" applyBorder="1"/>
    <xf numFmtId="0" fontId="23" fillId="0" borderId="0" xfId="0" applyFont="1"/>
    <xf numFmtId="0" fontId="11" fillId="0" borderId="0" xfId="0" applyFont="1" applyAlignment="1">
      <alignment horizontal="right" vertical="center"/>
    </xf>
    <xf numFmtId="0" fontId="0" fillId="0" borderId="10" xfId="0" applyBorder="1"/>
    <xf numFmtId="0" fontId="0" fillId="0" borderId="10" xfId="0" applyBorder="1" applyAlignment="1">
      <alignment horizontal="right"/>
    </xf>
    <xf numFmtId="0" fontId="0" fillId="0" borderId="13" xfId="0" applyBorder="1"/>
    <xf numFmtId="0" fontId="0" fillId="0" borderId="13" xfId="0" applyBorder="1" applyAlignment="1">
      <alignment horizontal="right"/>
    </xf>
    <xf numFmtId="0" fontId="0" fillId="0" borderId="16" xfId="0" applyBorder="1"/>
    <xf numFmtId="0" fontId="0" fillId="0" borderId="16" xfId="0" applyBorder="1" applyAlignment="1">
      <alignment horizontal="right"/>
    </xf>
    <xf numFmtId="0" fontId="1" fillId="0" borderId="9" xfId="1" applyFill="1" applyBorder="1"/>
    <xf numFmtId="0" fontId="1" fillId="0" borderId="0" xfId="1" applyFill="1" applyBorder="1"/>
    <xf numFmtId="0" fontId="0" fillId="0" borderId="21" xfId="0" applyBorder="1" applyAlignment="1">
      <alignment horizontal="right"/>
    </xf>
    <xf numFmtId="0" fontId="0" fillId="0" borderId="0" xfId="0" applyAlignment="1">
      <alignment vertical="center"/>
    </xf>
    <xf numFmtId="0" fontId="0" fillId="0" borderId="0" xfId="0" applyAlignment="1">
      <alignment horizontal="right"/>
    </xf>
    <xf numFmtId="0" fontId="13" fillId="0" borderId="0" xfId="0" applyFont="1" applyAlignment="1">
      <alignment horizontal="right" vertical="center"/>
    </xf>
    <xf numFmtId="0" fontId="0" fillId="0" borderId="8" xfId="0" applyBorder="1" applyAlignment="1">
      <alignment horizontal="center" vertical="center" wrapText="1"/>
    </xf>
    <xf numFmtId="0" fontId="0" fillId="0" borderId="22" xfId="0" applyBorder="1" applyAlignment="1">
      <alignment horizontal="left" wrapText="1"/>
    </xf>
    <xf numFmtId="0" fontId="8" fillId="0" borderId="23" xfId="2" applyFont="1" applyFill="1" applyBorder="1" applyAlignment="1">
      <alignment horizontal="left" wrapText="1"/>
    </xf>
    <xf numFmtId="0" fontId="0" fillId="0" borderId="12" xfId="0" applyBorder="1" applyAlignment="1">
      <alignment horizontal="center" vertical="center" wrapText="1"/>
    </xf>
    <xf numFmtId="0" fontId="0" fillId="0" borderId="9" xfId="0" applyBorder="1" applyAlignment="1">
      <alignment horizontal="left" wrapText="1"/>
    </xf>
    <xf numFmtId="0" fontId="8" fillId="0" borderId="11" xfId="2" applyFont="1" applyFill="1" applyBorder="1" applyAlignment="1">
      <alignment horizontal="left" wrapText="1"/>
    </xf>
    <xf numFmtId="0" fontId="2" fillId="3" borderId="0" xfId="2" applyBorder="1"/>
    <xf numFmtId="0" fontId="0" fillId="0" borderId="14" xfId="0" applyBorder="1" applyAlignment="1">
      <alignment horizontal="center" vertical="center" wrapText="1"/>
    </xf>
    <xf numFmtId="0" fontId="0" fillId="0" borderId="15" xfId="0" applyBorder="1" applyAlignment="1">
      <alignment horizontal="left" wrapText="1"/>
    </xf>
    <xf numFmtId="0" fontId="0" fillId="0" borderId="14" xfId="0" applyBorder="1" applyAlignment="1">
      <alignment vertical="center" wrapText="1"/>
    </xf>
    <xf numFmtId="0" fontId="0" fillId="0" borderId="30" xfId="0" applyBorder="1" applyAlignment="1">
      <alignment vertical="center" wrapText="1"/>
    </xf>
    <xf numFmtId="0" fontId="0" fillId="0" borderId="15" xfId="0" applyBorder="1" applyAlignment="1">
      <alignment horizontal="left" vertical="center" wrapText="1"/>
    </xf>
    <xf numFmtId="0" fontId="8" fillId="0" borderId="26" xfId="0" applyFont="1" applyBorder="1" applyAlignment="1">
      <alignment vertical="center" wrapText="1"/>
    </xf>
    <xf numFmtId="0" fontId="8" fillId="0" borderId="26" xfId="0" applyFont="1" applyBorder="1" applyAlignment="1">
      <alignment horizontal="right" vertical="center" wrapText="1"/>
    </xf>
    <xf numFmtId="0" fontId="0" fillId="0" borderId="20" xfId="0" applyBorder="1" applyAlignment="1">
      <alignment horizontal="left" wrapText="1"/>
    </xf>
    <xf numFmtId="0" fontId="8" fillId="0" borderId="21" xfId="0" applyFont="1" applyBorder="1" applyAlignment="1">
      <alignment vertical="center" wrapText="1"/>
    </xf>
    <xf numFmtId="0" fontId="8" fillId="0" borderId="21" xfId="0" applyFont="1" applyBorder="1" applyAlignment="1">
      <alignment horizontal="right" vertical="center" wrapText="1"/>
    </xf>
    <xf numFmtId="0" fontId="8" fillId="0" borderId="0" xfId="0" applyFont="1" applyAlignment="1">
      <alignment horizontal="right"/>
    </xf>
    <xf numFmtId="0" fontId="26" fillId="0" borderId="0" xfId="0" applyFont="1" applyAlignment="1">
      <alignment vertical="center"/>
    </xf>
    <xf numFmtId="0" fontId="8" fillId="0" borderId="0" xfId="0" applyFont="1" applyAlignment="1">
      <alignment vertical="center" wrapText="1"/>
    </xf>
    <xf numFmtId="0" fontId="20" fillId="0" borderId="9" xfId="0" applyFont="1" applyBorder="1" applyAlignment="1">
      <alignment horizontal="left"/>
    </xf>
    <xf numFmtId="0" fontId="7" fillId="0" borderId="11" xfId="1" applyFont="1" applyFill="1" applyBorder="1"/>
    <xf numFmtId="0" fontId="7" fillId="0" borderId="15" xfId="2" applyFont="1" applyFill="1" applyBorder="1"/>
    <xf numFmtId="0" fontId="8" fillId="0" borderId="16" xfId="0" applyFont="1" applyBorder="1" applyAlignment="1">
      <alignment horizontal="right"/>
    </xf>
    <xf numFmtId="0" fontId="8" fillId="0" borderId="21" xfId="0" applyFont="1" applyBorder="1" applyAlignment="1">
      <alignment horizontal="right"/>
    </xf>
    <xf numFmtId="0" fontId="8" fillId="0" borderId="10" xfId="0" applyFont="1" applyBorder="1"/>
    <xf numFmtId="0" fontId="8" fillId="0" borderId="10" xfId="0" applyFont="1" applyBorder="1" applyAlignment="1">
      <alignment horizontal="right"/>
    </xf>
    <xf numFmtId="0" fontId="8" fillId="0" borderId="13" xfId="0" applyFont="1" applyBorder="1"/>
    <xf numFmtId="0" fontId="16" fillId="0" borderId="9" xfId="0" applyFont="1" applyBorder="1" applyAlignment="1">
      <alignment horizontal="left"/>
    </xf>
    <xf numFmtId="0" fontId="8" fillId="0" borderId="13" xfId="0" applyFont="1" applyBorder="1" applyAlignment="1">
      <alignment horizontal="right"/>
    </xf>
    <xf numFmtId="0" fontId="8" fillId="0" borderId="16" xfId="0" applyFont="1" applyBorder="1"/>
    <xf numFmtId="0" fontId="8" fillId="0" borderId="16" xfId="0" applyFont="1" applyBorder="1" applyAlignment="1">
      <alignment horizontal="right"/>
    </xf>
    <xf numFmtId="0" fontId="21" fillId="0" borderId="0" xfId="0" applyFont="1"/>
    <xf numFmtId="0" fontId="0" fillId="0" borderId="11" xfId="0" applyBorder="1" applyAlignment="1">
      <alignment horizontal="right"/>
    </xf>
    <xf numFmtId="0" fontId="0" fillId="0" borderId="9" xfId="0" applyBorder="1" applyAlignment="1">
      <alignment horizontal="right"/>
    </xf>
    <xf numFmtId="0" fontId="0" fillId="0" borderId="17" xfId="0" applyBorder="1" applyAlignment="1">
      <alignment horizontal="right"/>
    </xf>
    <xf numFmtId="0" fontId="0" fillId="0" borderId="15" xfId="0" applyBorder="1" applyAlignment="1">
      <alignment horizontal="right"/>
    </xf>
    <xf numFmtId="0" fontId="3" fillId="4" borderId="17" xfId="3" applyBorder="1" applyAlignment="1">
      <alignment horizontal="right"/>
    </xf>
    <xf numFmtId="0" fontId="3" fillId="4" borderId="15" xfId="3" applyBorder="1" applyAlignment="1">
      <alignment horizontal="right"/>
    </xf>
    <xf numFmtId="0" fontId="7" fillId="0" borderId="25" xfId="0" applyFont="1" applyBorder="1" applyAlignment="1">
      <alignment horizontal="center"/>
    </xf>
    <xf numFmtId="0" fontId="7" fillId="0" borderId="9" xfId="0" applyFont="1" applyBorder="1" applyAlignment="1">
      <alignment horizontal="center"/>
    </xf>
    <xf numFmtId="0" fontId="7" fillId="0" borderId="18" xfId="0" applyFont="1" applyBorder="1" applyAlignment="1">
      <alignment horizontal="center"/>
    </xf>
    <xf numFmtId="0" fontId="7" fillId="0" borderId="15" xfId="0" applyFont="1" applyBorder="1" applyAlignment="1">
      <alignment horizontal="center"/>
    </xf>
    <xf numFmtId="0" fontId="7" fillId="0" borderId="18" xfId="0" applyFont="1" applyBorder="1" applyAlignment="1">
      <alignment horizontal="left"/>
    </xf>
    <xf numFmtId="0" fontId="7" fillId="0" borderId="18" xfId="0" applyFont="1" applyBorder="1" applyAlignment="1">
      <alignment horizontal="left" vertical="center" wrapText="1"/>
    </xf>
    <xf numFmtId="0" fontId="7" fillId="0" borderId="0" xfId="0" applyFont="1" applyAlignment="1">
      <alignment horizontal="left" vertical="center" wrapText="1"/>
    </xf>
    <xf numFmtId="0" fontId="7" fillId="0" borderId="9" xfId="0" applyFont="1" applyBorder="1" applyAlignment="1">
      <alignment horizontal="center"/>
    </xf>
    <xf numFmtId="0" fontId="7" fillId="0" borderId="18" xfId="3" applyFont="1" applyFill="1" applyBorder="1" applyAlignment="1"/>
    <xf numFmtId="0" fontId="7" fillId="0" borderId="5" xfId="0" applyFont="1" applyBorder="1" applyAlignment="1">
      <alignment horizontal="left"/>
    </xf>
    <xf numFmtId="0" fontId="7" fillId="0" borderId="6" xfId="0" applyFont="1" applyBorder="1"/>
    <xf numFmtId="0" fontId="7" fillId="0" borderId="7" xfId="0" applyFont="1" applyBorder="1"/>
    <xf numFmtId="0" fontId="20" fillId="0" borderId="23" xfId="0" applyFont="1" applyBorder="1" applyAlignment="1">
      <alignment horizontal="left"/>
    </xf>
    <xf numFmtId="0" fontId="1" fillId="2" borderId="22" xfId="1" applyBorder="1" applyAlignment="1">
      <alignment horizontal="right" wrapText="1"/>
    </xf>
    <xf numFmtId="0" fontId="8" fillId="0" borderId="22" xfId="2" applyFont="1" applyFill="1" applyBorder="1" applyAlignment="1">
      <alignment horizontal="right" wrapText="1"/>
    </xf>
    <xf numFmtId="0" fontId="1" fillId="2" borderId="9" xfId="1" applyBorder="1" applyAlignment="1">
      <alignment horizontal="right" wrapText="1"/>
    </xf>
    <xf numFmtId="0" fontId="8" fillId="0" borderId="9" xfId="2" applyFont="1" applyFill="1" applyBorder="1" applyAlignment="1">
      <alignment horizontal="right" wrapText="1"/>
    </xf>
    <xf numFmtId="0" fontId="8" fillId="0" borderId="15" xfId="1" applyFont="1" applyFill="1" applyBorder="1" applyAlignment="1">
      <alignment horizontal="right" wrapText="1"/>
    </xf>
    <xf numFmtId="0" fontId="8" fillId="0" borderId="15" xfId="2" applyFont="1" applyFill="1" applyBorder="1" applyAlignment="1">
      <alignment horizontal="right" wrapText="1"/>
    </xf>
    <xf numFmtId="0" fontId="8" fillId="0" borderId="9" xfId="1" applyFont="1" applyFill="1" applyBorder="1" applyAlignment="1">
      <alignment horizontal="right" wrapText="1"/>
    </xf>
    <xf numFmtId="0" fontId="8" fillId="0" borderId="9" xfId="0" applyFont="1" applyBorder="1" applyAlignment="1">
      <alignment horizontal="right" wrapText="1"/>
    </xf>
    <xf numFmtId="0" fontId="8" fillId="0" borderId="15" xfId="0" applyFont="1" applyBorder="1" applyAlignment="1">
      <alignment horizontal="right" wrapText="1"/>
    </xf>
    <xf numFmtId="0" fontId="8" fillId="0" borderId="17" xfId="0" applyFont="1" applyBorder="1" applyAlignment="1">
      <alignment horizontal="right" wrapText="1"/>
    </xf>
    <xf numFmtId="0" fontId="8" fillId="0" borderId="20" xfId="0" applyFont="1" applyBorder="1" applyAlignment="1">
      <alignment horizontal="right" wrapText="1"/>
    </xf>
    <xf numFmtId="0" fontId="27" fillId="0" borderId="0" xfId="0" applyFont="1" applyAlignment="1">
      <alignment horizontal="left"/>
    </xf>
    <xf numFmtId="0" fontId="0" fillId="0" borderId="30" xfId="0" applyBorder="1"/>
    <xf numFmtId="0" fontId="0" fillId="0" borderId="7" xfId="0" applyBorder="1" applyAlignment="1">
      <alignment horizontal="left"/>
    </xf>
    <xf numFmtId="0" fontId="1" fillId="2" borderId="7" xfId="1" applyBorder="1" applyAlignment="1">
      <alignment horizontal="right"/>
    </xf>
    <xf numFmtId="0" fontId="0" fillId="0" borderId="7" xfId="0" applyBorder="1" applyAlignment="1">
      <alignment horizontal="right"/>
    </xf>
    <xf numFmtId="0" fontId="17" fillId="0" borderId="7" xfId="0" applyFont="1" applyBorder="1"/>
    <xf numFmtId="0" fontId="0" fillId="0" borderId="40" xfId="0" applyBorder="1"/>
    <xf numFmtId="0" fontId="8" fillId="0" borderId="0" xfId="0" applyFont="1" applyAlignment="1">
      <alignment horizontal="center" vertical="center" wrapText="1"/>
    </xf>
    <xf numFmtId="0" fontId="0" fillId="0" borderId="20" xfId="0" applyBorder="1" applyAlignment="1">
      <alignment horizontal="right"/>
    </xf>
    <xf numFmtId="0" fontId="12" fillId="0" borderId="0" xfId="0" applyFont="1" applyAlignment="1">
      <alignment horizontal="right"/>
    </xf>
    <xf numFmtId="0" fontId="7" fillId="0" borderId="34" xfId="0" applyFont="1" applyBorder="1"/>
    <xf numFmtId="0" fontId="0" fillId="0" borderId="0" xfId="0" applyAlignment="1">
      <alignment horizontal="center"/>
    </xf>
    <xf numFmtId="0" fontId="7" fillId="0" borderId="34" xfId="0" applyFont="1" applyBorder="1" applyAlignment="1">
      <alignment horizontal="left"/>
    </xf>
    <xf numFmtId="0" fontId="7" fillId="0" borderId="11" xfId="0" quotePrefix="1" applyFont="1" applyBorder="1" applyAlignment="1">
      <alignment horizontal="left"/>
    </xf>
    <xf numFmtId="0" fontId="0" fillId="0" borderId="41" xfId="0" applyBorder="1"/>
    <xf numFmtId="0" fontId="0" fillId="0" borderId="42" xfId="0" applyBorder="1" applyAlignment="1">
      <alignment horizontal="left"/>
    </xf>
    <xf numFmtId="0" fontId="0" fillId="0" borderId="42" xfId="0" applyBorder="1"/>
    <xf numFmtId="0" fontId="0" fillId="0" borderId="43" xfId="0" applyBorder="1"/>
    <xf numFmtId="0" fontId="1" fillId="2" borderId="7" xfId="1" applyBorder="1"/>
    <xf numFmtId="0" fontId="0" fillId="0" borderId="9" xfId="0" quotePrefix="1" applyBorder="1" applyAlignment="1">
      <alignment horizontal="left"/>
    </xf>
    <xf numFmtId="0" fontId="8" fillId="0" borderId="7" xfId="1" applyFont="1" applyFill="1" applyBorder="1"/>
    <xf numFmtId="0" fontId="0" fillId="0" borderId="5" xfId="0" applyBorder="1" applyAlignment="1">
      <alignment horizontal="left"/>
    </xf>
    <xf numFmtId="0" fontId="0" fillId="0" borderId="0" xfId="0" applyAlignment="1">
      <alignment horizontal="left" vertical="center" wrapText="1"/>
    </xf>
    <xf numFmtId="0" fontId="0" fillId="0" borderId="28" xfId="0" applyBorder="1" applyAlignment="1">
      <alignment horizontal="left"/>
    </xf>
    <xf numFmtId="0" fontId="17" fillId="0" borderId="28" xfId="0" applyFont="1" applyBorder="1" applyAlignment="1">
      <alignment horizontal="left"/>
    </xf>
    <xf numFmtId="0" fontId="0" fillId="0" borderId="18" xfId="0" applyBorder="1" applyAlignment="1">
      <alignment horizontal="left" vertical="center" wrapText="1"/>
    </xf>
    <xf numFmtId="0" fontId="0" fillId="0" borderId="18" xfId="0" applyBorder="1" applyAlignment="1">
      <alignment horizontal="left"/>
    </xf>
    <xf numFmtId="0" fontId="28" fillId="0" borderId="0" xfId="0" applyFont="1"/>
    <xf numFmtId="0" fontId="29" fillId="0" borderId="0" xfId="0" applyFont="1"/>
    <xf numFmtId="0" fontId="29" fillId="0" borderId="0" xfId="0" applyFont="1" applyAlignment="1">
      <alignment horizontal="left"/>
    </xf>
    <xf numFmtId="0" fontId="29" fillId="0" borderId="12" xfId="0" applyFont="1" applyBorder="1"/>
    <xf numFmtId="0" fontId="29" fillId="0" borderId="29" xfId="0" applyFont="1" applyBorder="1"/>
    <xf numFmtId="0" fontId="29" fillId="0" borderId="0" xfId="0" quotePrefix="1" applyFont="1" applyAlignment="1">
      <alignment horizontal="left"/>
    </xf>
    <xf numFmtId="0" fontId="29" fillId="0" borderId="41" xfId="0" applyFont="1" applyBorder="1"/>
    <xf numFmtId="0" fontId="29" fillId="0" borderId="44" xfId="0" applyFont="1" applyBorder="1" applyAlignment="1">
      <alignment horizontal="left"/>
    </xf>
    <xf numFmtId="0" fontId="29" fillId="0" borderId="44" xfId="0" applyFont="1" applyBorder="1"/>
    <xf numFmtId="0" fontId="29" fillId="0" borderId="43" xfId="0" applyFont="1" applyBorder="1"/>
    <xf numFmtId="0" fontId="2" fillId="3" borderId="7" xfId="2" applyBorder="1"/>
    <xf numFmtId="0" fontId="8" fillId="0" borderId="6" xfId="2" applyFont="1" applyFill="1" applyBorder="1"/>
    <xf numFmtId="0" fontId="8" fillId="0" borderId="7" xfId="2" applyFont="1" applyFill="1" applyBorder="1"/>
    <xf numFmtId="0" fontId="0" fillId="0" borderId="31" xfId="0" applyBorder="1"/>
    <xf numFmtId="0" fontId="0" fillId="0" borderId="12" xfId="0" applyBorder="1" applyAlignment="1">
      <alignment horizontal="center"/>
    </xf>
    <xf numFmtId="0" fontId="0" fillId="0" borderId="12" xfId="0" applyBorder="1"/>
    <xf numFmtId="0" fontId="0" fillId="0" borderId="29" xfId="0" applyBorder="1"/>
    <xf numFmtId="0" fontId="29" fillId="0" borderId="22" xfId="0" applyFont="1" applyBorder="1"/>
    <xf numFmtId="0" fontId="29" fillId="0" borderId="15" xfId="0" applyFont="1" applyBorder="1"/>
    <xf numFmtId="0" fontId="29" fillId="0" borderId="9" xfId="0" applyFont="1" applyBorder="1"/>
    <xf numFmtId="0" fontId="3" fillId="4" borderId="9" xfId="3" applyBorder="1"/>
    <xf numFmtId="0" fontId="3" fillId="4" borderId="15" xfId="3" applyBorder="1"/>
    <xf numFmtId="0" fontId="29" fillId="0" borderId="23" xfId="0" applyFont="1" applyBorder="1"/>
    <xf numFmtId="0" fontId="29" fillId="0" borderId="17" xfId="0" applyFont="1" applyBorder="1"/>
    <xf numFmtId="0" fontId="29" fillId="0" borderId="11" xfId="0" applyFont="1" applyBorder="1"/>
    <xf numFmtId="0" fontId="0" fillId="0" borderId="9" xfId="0" applyBorder="1" applyAlignment="1">
      <alignment horizontal="center"/>
    </xf>
    <xf numFmtId="0" fontId="7" fillId="0" borderId="11" xfId="0" quotePrefix="1" applyFont="1" applyBorder="1"/>
    <xf numFmtId="0" fontId="0" fillId="0" borderId="0" xfId="0" quotePrefix="1"/>
    <xf numFmtId="0" fontId="3" fillId="0" borderId="0" xfId="3" applyFill="1" applyBorder="1"/>
    <xf numFmtId="0" fontId="7" fillId="0" borderId="28" xfId="0" applyFont="1" applyBorder="1" applyAlignment="1">
      <alignment horizontal="center"/>
    </xf>
    <xf numFmtId="0" fontId="7" fillId="0" borderId="0" xfId="0" applyFont="1" applyAlignment="1">
      <alignment horizontal="center"/>
    </xf>
    <xf numFmtId="0" fontId="7" fillId="0" borderId="32" xfId="0" applyFont="1" applyBorder="1" applyAlignment="1">
      <alignment horizontal="center"/>
    </xf>
    <xf numFmtId="0" fontId="0" fillId="0" borderId="0" xfId="0"/>
    <xf numFmtId="0" fontId="7" fillId="0" borderId="18" xfId="0" applyFont="1" applyBorder="1" applyAlignment="1">
      <alignment horizontal="left" wrapText="1"/>
    </xf>
    <xf numFmtId="0" fontId="7" fillId="0" borderId="18" xfId="0" applyFont="1" applyBorder="1" applyAlignment="1">
      <alignment vertical="center" wrapText="1"/>
    </xf>
    <xf numFmtId="0" fontId="7" fillId="0" borderId="15" xfId="0" applyFont="1" applyBorder="1" applyAlignment="1">
      <alignment vertical="center" wrapText="1"/>
    </xf>
    <xf numFmtId="0" fontId="7" fillId="0" borderId="9" xfId="0" quotePrefix="1" applyFont="1" applyBorder="1" applyAlignment="1">
      <alignment horizontal="left"/>
    </xf>
    <xf numFmtId="0" fontId="7" fillId="0" borderId="18" xfId="1" applyFont="1" applyFill="1" applyBorder="1"/>
    <xf numFmtId="0" fontId="7" fillId="0" borderId="28" xfId="0" applyFont="1" applyBorder="1"/>
    <xf numFmtId="0" fontId="7" fillId="0" borderId="22" xfId="0" applyFont="1" applyBorder="1"/>
    <xf numFmtId="0" fontId="7" fillId="0" borderId="9" xfId="0" quotePrefix="1" applyFont="1" applyBorder="1"/>
    <xf numFmtId="0" fontId="5" fillId="0" borderId="32" xfId="0" applyFont="1" applyBorder="1"/>
    <xf numFmtId="0" fontId="5" fillId="0" borderId="28" xfId="0" applyFont="1" applyBorder="1"/>
    <xf numFmtId="0" fontId="5" fillId="0" borderId="28" xfId="0" applyFont="1" applyBorder="1" applyAlignment="1">
      <alignment horizontal="left"/>
    </xf>
    <xf numFmtId="0" fontId="5" fillId="0" borderId="22" xfId="0" applyFont="1" applyBorder="1"/>
    <xf numFmtId="0" fontId="0" fillId="0" borderId="6" xfId="0" applyBorder="1" applyAlignment="1">
      <alignment horizontal="left"/>
    </xf>
    <xf numFmtId="0" fontId="7" fillId="0" borderId="6" xfId="0" applyFont="1" applyBorder="1" applyAlignment="1">
      <alignment horizontal="left"/>
    </xf>
    <xf numFmtId="0" fontId="0" fillId="0" borderId="28" xfId="0" applyBorder="1" applyAlignment="1">
      <alignment horizontal="left" vertical="center" wrapText="1"/>
    </xf>
    <xf numFmtId="0" fontId="7" fillId="0" borderId="28" xfId="0" applyFont="1" applyBorder="1" applyAlignment="1">
      <alignment horizontal="left"/>
    </xf>
    <xf numFmtId="49" fontId="7" fillId="0" borderId="28" xfId="0" applyNumberFormat="1" applyFont="1" applyBorder="1" applyAlignment="1">
      <alignment horizontal="left"/>
    </xf>
    <xf numFmtId="1" fontId="7" fillId="0" borderId="28" xfId="0" applyNumberFormat="1" applyFont="1" applyBorder="1" applyAlignment="1">
      <alignment horizontal="left"/>
    </xf>
    <xf numFmtId="49" fontId="7" fillId="0" borderId="0" xfId="0" applyNumberFormat="1" applyFont="1" applyAlignment="1">
      <alignment horizontal="left"/>
    </xf>
    <xf numFmtId="1" fontId="7" fillId="0" borderId="0" xfId="0" applyNumberFormat="1" applyFont="1" applyAlignment="1">
      <alignment horizontal="left"/>
    </xf>
    <xf numFmtId="0" fontId="0" fillId="0" borderId="27" xfId="0" applyBorder="1" applyAlignment="1">
      <alignment horizontal="center"/>
    </xf>
    <xf numFmtId="0" fontId="0" fillId="0" borderId="29" xfId="0" applyBorder="1" applyAlignment="1">
      <alignment horizontal="center"/>
    </xf>
    <xf numFmtId="0" fontId="0" fillId="0" borderId="26" xfId="0" applyBorder="1" applyAlignment="1">
      <alignment horizontal="center"/>
    </xf>
    <xf numFmtId="0" fontId="1" fillId="2" borderId="23" xfId="1" applyBorder="1"/>
    <xf numFmtId="0" fontId="1" fillId="2" borderId="11" xfId="1" applyBorder="1"/>
    <xf numFmtId="0" fontId="0" fillId="0" borderId="45" xfId="0" applyBorder="1"/>
    <xf numFmtId="0" fontId="3" fillId="4" borderId="5" xfId="3" applyBorder="1"/>
    <xf numFmtId="0" fontId="0" fillId="0" borderId="0" xfId="0" applyAlignment="1">
      <alignment wrapText="1"/>
    </xf>
    <xf numFmtId="0" fontId="27" fillId="0" borderId="0" xfId="0" applyFont="1"/>
    <xf numFmtId="0" fontId="17" fillId="0" borderId="9" xfId="0" applyFont="1" applyBorder="1"/>
    <xf numFmtId="0" fontId="8" fillId="7" borderId="20" xfId="1" applyFont="1" applyFill="1" applyBorder="1"/>
    <xf numFmtId="0" fontId="17" fillId="0" borderId="10" xfId="0" applyFont="1" applyBorder="1" applyAlignment="1">
      <alignment horizontal="center"/>
    </xf>
    <xf numFmtId="0" fontId="17" fillId="0" borderId="13" xfId="0" applyFont="1" applyBorder="1" applyAlignment="1">
      <alignment horizontal="center"/>
    </xf>
    <xf numFmtId="0" fontId="17" fillId="0" borderId="16" xfId="0" applyFont="1" applyBorder="1" applyAlignment="1">
      <alignment horizontal="center"/>
    </xf>
    <xf numFmtId="0" fontId="2" fillId="0" borderId="5" xfId="2" applyFill="1" applyBorder="1" applyAlignment="1">
      <alignment horizontal="left" wrapText="1"/>
    </xf>
    <xf numFmtId="0" fontId="8" fillId="0" borderId="22" xfId="0" applyFont="1" applyBorder="1" applyAlignment="1">
      <alignment horizontal="left"/>
    </xf>
    <xf numFmtId="0" fontId="1" fillId="2" borderId="22" xfId="1" applyBorder="1" applyAlignment="1">
      <alignment horizontal="left"/>
    </xf>
    <xf numFmtId="0" fontId="8" fillId="0" borderId="22" xfId="2" applyFont="1" applyFill="1" applyBorder="1" applyAlignment="1">
      <alignment horizontal="left"/>
    </xf>
    <xf numFmtId="0" fontId="2" fillId="0" borderId="23" xfId="2" applyFill="1" applyBorder="1" applyAlignment="1">
      <alignment horizontal="left"/>
    </xf>
    <xf numFmtId="0" fontId="8" fillId="0" borderId="6" xfId="2" applyFont="1" applyFill="1" applyBorder="1" applyAlignment="1">
      <alignment horizontal="left" wrapText="1"/>
    </xf>
    <xf numFmtId="17" fontId="8" fillId="0" borderId="22" xfId="0" quotePrefix="1" applyNumberFormat="1" applyFont="1" applyBorder="1" applyAlignment="1">
      <alignment horizontal="left" wrapText="1"/>
    </xf>
    <xf numFmtId="0" fontId="8" fillId="0" borderId="28" xfId="0" applyFont="1" applyBorder="1" applyAlignment="1">
      <alignment horizontal="left" wrapText="1"/>
    </xf>
    <xf numFmtId="0" fontId="0" fillId="0" borderId="11" xfId="0" quotePrefix="1" applyBorder="1" applyAlignment="1">
      <alignment horizontal="left"/>
    </xf>
    <xf numFmtId="0" fontId="5" fillId="8" borderId="0" xfId="0" applyFont="1" applyFill="1"/>
    <xf numFmtId="0" fontId="5" fillId="9" borderId="0" xfId="0" applyFont="1" applyFill="1"/>
    <xf numFmtId="0" fontId="0" fillId="8" borderId="0" xfId="0" applyFill="1"/>
    <xf numFmtId="1" fontId="0" fillId="9" borderId="0" xfId="0" applyNumberFormat="1" applyFill="1"/>
    <xf numFmtId="164" fontId="0" fillId="0" borderId="0" xfId="0" applyNumberFormat="1"/>
    <xf numFmtId="164" fontId="0" fillId="8" borderId="0" xfId="0" applyNumberFormat="1" applyFill="1"/>
    <xf numFmtId="164" fontId="0" fillId="9" borderId="0" xfId="0" applyNumberFormat="1" applyFill="1"/>
  </cellXfs>
  <cellStyles count="4">
    <cellStyle name="Bad" xfId="2" builtinId="27"/>
    <cellStyle name="Good" xfId="1" builtinId="26"/>
    <cellStyle name="Neutral" xfId="3"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765A8-2478-42DE-B395-A60E9A06AC87}">
  <dimension ref="B1:AV1931"/>
  <sheetViews>
    <sheetView tabSelected="1" zoomScale="60" zoomScaleNormal="60" workbookViewId="0">
      <selection activeCell="G1936" sqref="G1936"/>
    </sheetView>
  </sheetViews>
  <sheetFormatPr defaultRowHeight="15" x14ac:dyDescent="0.25"/>
  <cols>
    <col min="1" max="1" width="5.42578125" customWidth="1"/>
    <col min="2" max="2" width="44.140625" customWidth="1"/>
    <col min="3" max="3" width="24.140625" customWidth="1"/>
    <col min="4" max="4" width="22.42578125" customWidth="1"/>
    <col min="5" max="5" width="24.42578125" customWidth="1"/>
    <col min="6" max="6" width="19.140625" customWidth="1"/>
    <col min="7" max="7" width="20.28515625" customWidth="1"/>
    <col min="8" max="8" width="10.28515625" customWidth="1"/>
    <col min="9" max="9" width="11" customWidth="1"/>
    <col min="10" max="10" width="8.140625" customWidth="1"/>
    <col min="11" max="11" width="24.140625" customWidth="1"/>
    <col min="12" max="12" width="18.85546875" customWidth="1"/>
    <col min="13" max="13" width="17.28515625" customWidth="1"/>
    <col min="14" max="14" width="14.42578125" customWidth="1"/>
    <col min="15" max="15" width="11.140625" customWidth="1"/>
    <col min="16" max="16" width="10" customWidth="1"/>
    <col min="17" max="17" width="11.42578125" customWidth="1"/>
    <col min="18" max="18" width="12.85546875" customWidth="1"/>
    <col min="19" max="19" width="12.42578125" customWidth="1"/>
    <col min="20" max="20" width="9.5703125" customWidth="1"/>
    <col min="21" max="21" width="13.85546875" customWidth="1"/>
    <col min="23" max="23" width="10.140625" customWidth="1"/>
    <col min="24" max="24" width="13" customWidth="1"/>
    <col min="25" max="25" width="11.28515625" customWidth="1"/>
    <col min="26" max="26" width="12" customWidth="1"/>
    <col min="27" max="27" width="7.42578125" customWidth="1"/>
    <col min="30" max="30" width="10" customWidth="1"/>
    <col min="31" max="31" width="14" customWidth="1"/>
    <col min="34" max="34" width="9.85546875" customWidth="1"/>
    <col min="37" max="37" width="14.140625" customWidth="1"/>
    <col min="38" max="38" width="15.42578125" customWidth="1"/>
    <col min="39" max="39" width="16.7109375" customWidth="1"/>
    <col min="40" max="40" width="15.5703125" customWidth="1"/>
    <col min="41" max="41" width="21.140625" customWidth="1"/>
  </cols>
  <sheetData>
    <row r="1" spans="2:3" s="1" customFormat="1" x14ac:dyDescent="0.25">
      <c r="B1" s="1" t="s">
        <v>0</v>
      </c>
    </row>
    <row r="3" spans="2:3" x14ac:dyDescent="0.25">
      <c r="B3" t="s">
        <v>1</v>
      </c>
      <c r="C3" s="2" t="s">
        <v>2</v>
      </c>
    </row>
    <row r="4" spans="2:3" x14ac:dyDescent="0.25">
      <c r="C4" s="3" t="s">
        <v>3</v>
      </c>
    </row>
    <row r="5" spans="2:3" x14ac:dyDescent="0.25">
      <c r="C5" s="4" t="s">
        <v>4</v>
      </c>
    </row>
    <row r="6" spans="2:3" x14ac:dyDescent="0.25">
      <c r="C6" s="5" t="s">
        <v>5</v>
      </c>
    </row>
    <row r="7" spans="2:3" x14ac:dyDescent="0.25">
      <c r="C7" t="s">
        <v>6</v>
      </c>
    </row>
    <row r="8" spans="2:3" x14ac:dyDescent="0.25">
      <c r="C8" t="s">
        <v>7</v>
      </c>
    </row>
    <row r="9" spans="2:3" x14ac:dyDescent="0.25">
      <c r="C9" t="s">
        <v>8</v>
      </c>
    </row>
    <row r="10" spans="2:3" x14ac:dyDescent="0.25">
      <c r="C10" t="s">
        <v>9</v>
      </c>
    </row>
    <row r="11" spans="2:3" x14ac:dyDescent="0.25">
      <c r="C11" t="s">
        <v>10</v>
      </c>
    </row>
    <row r="12" spans="2:3" x14ac:dyDescent="0.25">
      <c r="C12" t="s">
        <v>11</v>
      </c>
    </row>
    <row r="13" spans="2:3" x14ac:dyDescent="0.25">
      <c r="C13" t="s">
        <v>12</v>
      </c>
    </row>
    <row r="14" spans="2:3" x14ac:dyDescent="0.25">
      <c r="C14" s="6" t="s">
        <v>13</v>
      </c>
    </row>
    <row r="15" spans="2:3" x14ac:dyDescent="0.25">
      <c r="C15" s="6" t="s">
        <v>14</v>
      </c>
    </row>
    <row r="17" spans="2:28" s="7" customFormat="1" ht="18.75" x14ac:dyDescent="0.3">
      <c r="B17" s="8" t="s">
        <v>15</v>
      </c>
    </row>
    <row r="19" spans="2:28" ht="18.75" x14ac:dyDescent="0.3">
      <c r="B19" s="9" t="s">
        <v>16</v>
      </c>
      <c r="I19" s="9" t="s">
        <v>17</v>
      </c>
      <c r="P19" s="9" t="s">
        <v>18</v>
      </c>
    </row>
    <row r="20" spans="2:28" x14ac:dyDescent="0.25">
      <c r="I20" s="10"/>
      <c r="P20" s="10" t="s">
        <v>19</v>
      </c>
    </row>
    <row r="22" spans="2:28" ht="19.5" thickBot="1" x14ac:dyDescent="0.35">
      <c r="B22" s="9" t="s">
        <v>20</v>
      </c>
      <c r="C22" s="11"/>
      <c r="D22" s="12"/>
      <c r="E22" s="9"/>
      <c r="F22" s="13"/>
      <c r="G22" s="14"/>
      <c r="H22" s="9"/>
      <c r="I22" s="15" t="s">
        <v>20</v>
      </c>
      <c r="J22" s="16"/>
      <c r="K22" s="12"/>
      <c r="L22" s="15"/>
      <c r="M22" s="17"/>
      <c r="N22" s="18"/>
      <c r="O22" s="11"/>
      <c r="P22" s="15" t="s">
        <v>20</v>
      </c>
      <c r="Q22" s="16"/>
      <c r="R22" s="12"/>
      <c r="S22" s="15"/>
      <c r="T22" s="17"/>
      <c r="U22" s="18"/>
      <c r="W22" s="9" t="s">
        <v>21</v>
      </c>
      <c r="AB22" s="12"/>
    </row>
    <row r="23" spans="2:28" ht="30" x14ac:dyDescent="0.25">
      <c r="B23" s="20" t="s">
        <v>22</v>
      </c>
      <c r="C23" s="21" t="s">
        <v>23</v>
      </c>
      <c r="D23" s="21" t="s">
        <v>24</v>
      </c>
      <c r="E23" s="21" t="s">
        <v>25</v>
      </c>
      <c r="F23" s="22" t="s">
        <v>26</v>
      </c>
      <c r="G23" s="23" t="s">
        <v>27</v>
      </c>
      <c r="H23" s="24"/>
      <c r="I23" s="20" t="s">
        <v>22</v>
      </c>
      <c r="J23" s="21" t="s">
        <v>23</v>
      </c>
      <c r="K23" s="21" t="s">
        <v>24</v>
      </c>
      <c r="L23" s="21" t="s">
        <v>25</v>
      </c>
      <c r="M23" s="22" t="s">
        <v>26</v>
      </c>
      <c r="N23" s="23" t="s">
        <v>27</v>
      </c>
      <c r="O23" s="24"/>
      <c r="P23" s="20" t="s">
        <v>22</v>
      </c>
      <c r="Q23" s="21" t="s">
        <v>23</v>
      </c>
      <c r="R23" s="21" t="s">
        <v>24</v>
      </c>
      <c r="S23" s="21" t="s">
        <v>25</v>
      </c>
      <c r="T23" s="22" t="s">
        <v>26</v>
      </c>
      <c r="U23" s="23" t="s">
        <v>27</v>
      </c>
      <c r="W23" s="25"/>
      <c r="X23" s="26" t="s">
        <v>24</v>
      </c>
      <c r="Y23" s="27" t="s">
        <v>25</v>
      </c>
      <c r="Z23" s="27" t="s">
        <v>27</v>
      </c>
      <c r="AA23" s="28" t="s">
        <v>28</v>
      </c>
    </row>
    <row r="24" spans="2:28" x14ac:dyDescent="0.25">
      <c r="B24" s="29" t="s">
        <v>29</v>
      </c>
      <c r="C24" s="30" t="s">
        <v>30</v>
      </c>
      <c r="D24" s="31">
        <v>12</v>
      </c>
      <c r="E24" s="32">
        <v>0</v>
      </c>
      <c r="F24" s="33"/>
      <c r="G24" s="34">
        <v>88</v>
      </c>
      <c r="I24" s="35" t="s">
        <v>29</v>
      </c>
      <c r="J24" s="36" t="s">
        <v>30</v>
      </c>
      <c r="K24" s="31">
        <v>4</v>
      </c>
      <c r="L24" s="32">
        <v>0</v>
      </c>
      <c r="M24" s="33"/>
      <c r="N24" s="37">
        <v>4</v>
      </c>
      <c r="P24" s="35" t="s">
        <v>29</v>
      </c>
      <c r="Q24" s="36" t="s">
        <v>30</v>
      </c>
      <c r="R24" s="31">
        <v>5</v>
      </c>
      <c r="S24" s="32">
        <v>0</v>
      </c>
      <c r="T24" s="33"/>
      <c r="U24" s="37">
        <v>5</v>
      </c>
      <c r="W24" s="38" t="s">
        <v>29</v>
      </c>
      <c r="X24" s="39">
        <v>97</v>
      </c>
      <c r="Y24" s="40">
        <v>0</v>
      </c>
      <c r="Z24" s="32">
        <f>SUM(X24,Y24)</f>
        <v>97</v>
      </c>
      <c r="AA24" s="41">
        <f>Z24/Z27*100</f>
        <v>94.174757281553397</v>
      </c>
    </row>
    <row r="25" spans="2:28" x14ac:dyDescent="0.25">
      <c r="B25" s="42"/>
      <c r="C25" s="30">
        <v>0.5</v>
      </c>
      <c r="D25" s="31">
        <v>76</v>
      </c>
      <c r="E25" s="32">
        <v>0</v>
      </c>
      <c r="F25" s="33"/>
      <c r="G25" s="43"/>
      <c r="I25" s="44"/>
      <c r="J25" s="36">
        <v>0.5</v>
      </c>
      <c r="K25" s="45">
        <v>0</v>
      </c>
      <c r="L25" s="32">
        <v>0</v>
      </c>
      <c r="M25" s="33"/>
      <c r="N25" s="46"/>
      <c r="P25" s="44"/>
      <c r="Q25" s="36">
        <v>0.5</v>
      </c>
      <c r="R25" s="45">
        <v>0</v>
      </c>
      <c r="S25" s="32">
        <v>0</v>
      </c>
      <c r="T25" s="33"/>
      <c r="U25" s="46"/>
      <c r="W25" s="38" t="s">
        <v>31</v>
      </c>
      <c r="X25" s="2">
        <v>0</v>
      </c>
      <c r="Y25" s="3">
        <v>0</v>
      </c>
      <c r="Z25" s="38">
        <v>0</v>
      </c>
      <c r="AA25" s="38">
        <v>0</v>
      </c>
    </row>
    <row r="26" spans="2:28" x14ac:dyDescent="0.25">
      <c r="B26" s="47"/>
      <c r="C26" s="48">
        <v>1</v>
      </c>
      <c r="D26" s="49">
        <v>0</v>
      </c>
      <c r="E26" s="50">
        <v>0</v>
      </c>
      <c r="F26" s="51"/>
      <c r="G26" s="52"/>
      <c r="I26" s="53"/>
      <c r="J26" s="54">
        <v>1</v>
      </c>
      <c r="K26" s="49">
        <v>0</v>
      </c>
      <c r="L26" s="50">
        <v>0</v>
      </c>
      <c r="M26" s="51"/>
      <c r="N26" s="55"/>
      <c r="P26" s="53"/>
      <c r="Q26" s="54">
        <v>1</v>
      </c>
      <c r="R26" s="49">
        <v>0</v>
      </c>
      <c r="S26" s="50">
        <v>0</v>
      </c>
      <c r="T26" s="51"/>
      <c r="U26" s="55"/>
      <c r="W26" s="56" t="s">
        <v>32</v>
      </c>
      <c r="X26" s="57">
        <v>0</v>
      </c>
      <c r="Y26" s="58">
        <v>6</v>
      </c>
      <c r="Z26" s="50">
        <f>SUM(X26,Y26)</f>
        <v>6</v>
      </c>
      <c r="AA26" s="59">
        <f>Z26/Z27*100</f>
        <v>5.825242718446602</v>
      </c>
    </row>
    <row r="27" spans="2:28" x14ac:dyDescent="0.25">
      <c r="B27" s="60" t="s">
        <v>31</v>
      </c>
      <c r="C27" s="48">
        <v>2</v>
      </c>
      <c r="D27" s="50">
        <v>0</v>
      </c>
      <c r="E27" s="50">
        <v>0</v>
      </c>
      <c r="F27" s="51"/>
      <c r="G27" s="61">
        <v>0</v>
      </c>
      <c r="I27" s="62" t="s">
        <v>31</v>
      </c>
      <c r="J27" s="54">
        <v>2</v>
      </c>
      <c r="K27" s="50">
        <v>0</v>
      </c>
      <c r="L27" s="50">
        <v>0</v>
      </c>
      <c r="M27" s="51"/>
      <c r="N27" s="63">
        <v>0</v>
      </c>
      <c r="P27" s="62" t="s">
        <v>31</v>
      </c>
      <c r="Q27" s="54">
        <v>2</v>
      </c>
      <c r="R27" s="50">
        <v>0</v>
      </c>
      <c r="S27" s="50">
        <v>0</v>
      </c>
      <c r="T27" s="51"/>
      <c r="U27" s="63">
        <v>0</v>
      </c>
      <c r="W27" s="56" t="s">
        <v>27</v>
      </c>
      <c r="X27" s="64">
        <f>SUM(X24,X26)</f>
        <v>97</v>
      </c>
      <c r="Y27" s="50">
        <f>SUM(Y24,Y26)</f>
        <v>6</v>
      </c>
      <c r="Z27" s="50">
        <f>SUM(X24:Y26)</f>
        <v>103</v>
      </c>
      <c r="AA27" s="59"/>
    </row>
    <row r="28" spans="2:28" x14ac:dyDescent="0.25">
      <c r="B28" s="29" t="s">
        <v>32</v>
      </c>
      <c r="C28" s="30">
        <v>4</v>
      </c>
      <c r="D28" s="32">
        <v>0</v>
      </c>
      <c r="E28" s="32">
        <v>0</v>
      </c>
      <c r="F28" s="33"/>
      <c r="G28" s="65">
        <v>2</v>
      </c>
      <c r="I28" s="35" t="s">
        <v>32</v>
      </c>
      <c r="J28" s="36">
        <v>4</v>
      </c>
      <c r="K28" s="32">
        <v>0</v>
      </c>
      <c r="L28" s="32">
        <v>0</v>
      </c>
      <c r="M28" s="33"/>
      <c r="N28" s="66">
        <v>4</v>
      </c>
      <c r="P28" s="35" t="s">
        <v>32</v>
      </c>
      <c r="Q28" s="36">
        <v>4</v>
      </c>
      <c r="R28" s="32">
        <v>0</v>
      </c>
      <c r="S28" s="32">
        <v>0</v>
      </c>
      <c r="T28" s="33"/>
      <c r="U28" s="66">
        <v>0</v>
      </c>
      <c r="W28" s="56" t="s">
        <v>28</v>
      </c>
      <c r="X28" s="64">
        <f>X27/Z27*100</f>
        <v>94.174757281553397</v>
      </c>
      <c r="Y28" s="59">
        <f>Y27/Z27*100</f>
        <v>5.825242718446602</v>
      </c>
      <c r="Z28" s="59"/>
      <c r="AA28" s="59"/>
    </row>
    <row r="29" spans="2:28" ht="60" x14ac:dyDescent="0.25">
      <c r="B29" s="47"/>
      <c r="C29" s="48" t="s">
        <v>33</v>
      </c>
      <c r="D29" s="50">
        <v>0</v>
      </c>
      <c r="E29" s="58">
        <v>2</v>
      </c>
      <c r="F29" s="67" t="s">
        <v>34</v>
      </c>
      <c r="G29" s="68"/>
      <c r="I29" s="53"/>
      <c r="J29" s="54" t="s">
        <v>33</v>
      </c>
      <c r="K29" s="50">
        <v>0</v>
      </c>
      <c r="L29" s="58">
        <v>4</v>
      </c>
      <c r="M29" s="67" t="s">
        <v>35</v>
      </c>
      <c r="N29" s="69"/>
      <c r="P29" s="53"/>
      <c r="Q29" s="54" t="s">
        <v>33</v>
      </c>
      <c r="R29" s="50">
        <v>0</v>
      </c>
      <c r="S29" s="49">
        <v>0</v>
      </c>
      <c r="T29" s="67"/>
      <c r="U29" s="69"/>
    </row>
    <row r="30" spans="2:28" ht="15.75" thickBot="1" x14ac:dyDescent="0.3">
      <c r="B30" s="70"/>
      <c r="C30" s="71"/>
      <c r="D30" s="72">
        <v>88</v>
      </c>
      <c r="E30" s="72">
        <v>2</v>
      </c>
      <c r="F30" s="73"/>
      <c r="G30" s="74">
        <v>90</v>
      </c>
      <c r="I30" s="75"/>
      <c r="J30" s="76"/>
      <c r="K30" s="72">
        <v>4</v>
      </c>
      <c r="L30" s="72">
        <v>4</v>
      </c>
      <c r="M30" s="73"/>
      <c r="N30" s="77">
        <v>8</v>
      </c>
      <c r="P30" s="75"/>
      <c r="Q30" s="76"/>
      <c r="R30" s="72">
        <v>5</v>
      </c>
      <c r="S30" s="72">
        <v>0</v>
      </c>
      <c r="T30" s="73"/>
      <c r="U30" s="77">
        <v>5</v>
      </c>
    </row>
    <row r="31" spans="2:28" x14ac:dyDescent="0.25">
      <c r="C31" s="78"/>
      <c r="D31" s="6"/>
      <c r="E31" s="6"/>
      <c r="F31" s="79"/>
      <c r="G31" s="80"/>
      <c r="I31" s="6"/>
      <c r="J31" s="81"/>
      <c r="K31" s="6"/>
      <c r="L31" s="6"/>
      <c r="M31" s="79"/>
      <c r="N31" s="82"/>
      <c r="P31" s="6"/>
      <c r="Q31" s="81"/>
      <c r="R31" s="6"/>
      <c r="S31" s="6"/>
      <c r="T31" s="79"/>
      <c r="U31" s="82"/>
    </row>
    <row r="32" spans="2:28" ht="19.5" thickBot="1" x14ac:dyDescent="0.35">
      <c r="B32" s="9" t="s">
        <v>36</v>
      </c>
      <c r="C32" s="83"/>
      <c r="D32" s="84"/>
      <c r="E32" s="16"/>
      <c r="F32" s="16"/>
      <c r="G32" s="11"/>
      <c r="H32" s="11"/>
      <c r="I32" s="15" t="s">
        <v>37</v>
      </c>
      <c r="J32" s="85"/>
      <c r="K32" s="16"/>
      <c r="L32" s="84"/>
      <c r="N32" s="16"/>
      <c r="P32" s="15" t="s">
        <v>37</v>
      </c>
      <c r="Q32" s="85"/>
      <c r="R32" s="16"/>
      <c r="S32" s="84"/>
      <c r="T32" s="16"/>
      <c r="U32" s="16"/>
      <c r="W32" s="9" t="s">
        <v>38</v>
      </c>
    </row>
    <row r="33" spans="2:27" ht="30" x14ac:dyDescent="0.25">
      <c r="B33" s="20" t="s">
        <v>22</v>
      </c>
      <c r="C33" s="21" t="s">
        <v>23</v>
      </c>
      <c r="D33" s="21" t="s">
        <v>24</v>
      </c>
      <c r="E33" s="21" t="s">
        <v>25</v>
      </c>
      <c r="F33" s="22" t="s">
        <v>26</v>
      </c>
      <c r="G33" s="23" t="s">
        <v>27</v>
      </c>
      <c r="H33" s="24"/>
      <c r="I33" s="20" t="s">
        <v>22</v>
      </c>
      <c r="J33" s="21" t="s">
        <v>23</v>
      </c>
      <c r="K33" s="21" t="s">
        <v>24</v>
      </c>
      <c r="L33" s="21" t="s">
        <v>25</v>
      </c>
      <c r="M33" s="22" t="s">
        <v>26</v>
      </c>
      <c r="N33" s="23" t="s">
        <v>27</v>
      </c>
      <c r="P33" s="20" t="s">
        <v>22</v>
      </c>
      <c r="Q33" s="21" t="s">
        <v>23</v>
      </c>
      <c r="R33" s="21" t="s">
        <v>24</v>
      </c>
      <c r="S33" s="21" t="s">
        <v>25</v>
      </c>
      <c r="T33" s="22" t="s">
        <v>26</v>
      </c>
      <c r="U33" s="23" t="s">
        <v>27</v>
      </c>
      <c r="W33" s="25"/>
      <c r="X33" s="26" t="s">
        <v>24</v>
      </c>
      <c r="Y33" s="27" t="s">
        <v>25</v>
      </c>
      <c r="Z33" s="27" t="s">
        <v>27</v>
      </c>
      <c r="AA33" s="28" t="s">
        <v>28</v>
      </c>
    </row>
    <row r="34" spans="2:27" x14ac:dyDescent="0.25">
      <c r="B34" s="35" t="s">
        <v>29</v>
      </c>
      <c r="C34" s="86" t="s">
        <v>39</v>
      </c>
      <c r="D34" s="87">
        <v>87</v>
      </c>
      <c r="E34" s="88">
        <v>1</v>
      </c>
      <c r="F34" s="89" t="s">
        <v>40</v>
      </c>
      <c r="G34" s="90">
        <v>90</v>
      </c>
      <c r="I34" s="35" t="s">
        <v>29</v>
      </c>
      <c r="J34" s="86" t="s">
        <v>39</v>
      </c>
      <c r="K34" s="87">
        <v>3</v>
      </c>
      <c r="L34" s="88">
        <v>1</v>
      </c>
      <c r="M34" s="89" t="s">
        <v>41</v>
      </c>
      <c r="N34" s="90">
        <v>5</v>
      </c>
      <c r="P34" s="35" t="s">
        <v>29</v>
      </c>
      <c r="Q34" s="86" t="s">
        <v>39</v>
      </c>
      <c r="R34" s="87">
        <v>5</v>
      </c>
      <c r="S34" s="91">
        <v>0</v>
      </c>
      <c r="T34" s="92"/>
      <c r="U34" s="90">
        <v>5</v>
      </c>
      <c r="W34" s="38" t="s">
        <v>29</v>
      </c>
      <c r="X34" s="39">
        <v>98</v>
      </c>
      <c r="Y34" s="40">
        <v>2</v>
      </c>
      <c r="Z34" s="32">
        <f>SUM(X34,Y34)</f>
        <v>100</v>
      </c>
      <c r="AA34" s="41">
        <f>Z34/Z36*100</f>
        <v>97.087378640776706</v>
      </c>
    </row>
    <row r="35" spans="2:27" x14ac:dyDescent="0.25">
      <c r="B35" s="53"/>
      <c r="C35" s="54">
        <v>0.25</v>
      </c>
      <c r="D35" s="58">
        <v>2</v>
      </c>
      <c r="E35" s="50">
        <v>0</v>
      </c>
      <c r="F35" s="93"/>
      <c r="G35" s="94"/>
      <c r="I35" s="53"/>
      <c r="J35" s="54">
        <v>0.25</v>
      </c>
      <c r="K35" s="58">
        <v>1</v>
      </c>
      <c r="L35" s="50">
        <v>0</v>
      </c>
      <c r="M35" s="93"/>
      <c r="N35" s="94"/>
      <c r="P35" s="53"/>
      <c r="Q35" s="54">
        <v>0.25</v>
      </c>
      <c r="R35" s="49">
        <v>0</v>
      </c>
      <c r="S35" s="50">
        <v>0</v>
      </c>
      <c r="T35" s="93"/>
      <c r="U35" s="94"/>
      <c r="W35" s="56" t="s">
        <v>32</v>
      </c>
      <c r="X35" s="57">
        <v>1</v>
      </c>
      <c r="Y35" s="58">
        <v>2</v>
      </c>
      <c r="Z35" s="50">
        <f>SUM(X35,Y35)</f>
        <v>3</v>
      </c>
      <c r="AA35" s="59">
        <f>Z35/Z36*100</f>
        <v>2.912621359223301</v>
      </c>
    </row>
    <row r="36" spans="2:27" x14ac:dyDescent="0.25">
      <c r="B36" s="35" t="s">
        <v>32</v>
      </c>
      <c r="C36" s="36">
        <v>0.5</v>
      </c>
      <c r="D36" s="32">
        <v>0</v>
      </c>
      <c r="E36" s="32">
        <v>0</v>
      </c>
      <c r="F36" s="95"/>
      <c r="G36" s="90">
        <v>0</v>
      </c>
      <c r="I36" s="35" t="s">
        <v>32</v>
      </c>
      <c r="J36" s="36">
        <v>0.5</v>
      </c>
      <c r="K36" s="40">
        <v>1</v>
      </c>
      <c r="L36" s="32">
        <v>0</v>
      </c>
      <c r="M36" s="95"/>
      <c r="N36" s="90">
        <v>3</v>
      </c>
      <c r="P36" s="35" t="s">
        <v>32</v>
      </c>
      <c r="Q36" s="36">
        <v>0.5</v>
      </c>
      <c r="R36" s="32">
        <v>0</v>
      </c>
      <c r="S36" s="32">
        <v>0</v>
      </c>
      <c r="T36" s="95"/>
      <c r="U36" s="90">
        <v>0</v>
      </c>
      <c r="W36" s="56" t="s">
        <v>27</v>
      </c>
      <c r="X36" s="64">
        <f>SUM(X34,X35)</f>
        <v>99</v>
      </c>
      <c r="Y36" s="50">
        <f>SUM(Y34,Y35)</f>
        <v>4</v>
      </c>
      <c r="Z36" s="50">
        <f>SUM(X34:Y35)</f>
        <v>103</v>
      </c>
      <c r="AA36" s="59"/>
    </row>
    <row r="37" spans="2:27" x14ac:dyDescent="0.25">
      <c r="B37" s="44"/>
      <c r="C37" s="36">
        <v>1</v>
      </c>
      <c r="D37" s="32">
        <v>0</v>
      </c>
      <c r="E37" s="32">
        <v>0</v>
      </c>
      <c r="F37" s="32"/>
      <c r="G37" s="96"/>
      <c r="I37" s="44"/>
      <c r="J37" s="36">
        <v>1</v>
      </c>
      <c r="K37" s="32">
        <v>0</v>
      </c>
      <c r="L37" s="32">
        <v>0</v>
      </c>
      <c r="M37" s="32"/>
      <c r="N37" s="96"/>
      <c r="P37" s="44"/>
      <c r="Q37" s="36">
        <v>1</v>
      </c>
      <c r="R37" s="32">
        <v>0</v>
      </c>
      <c r="S37" s="32">
        <v>0</v>
      </c>
      <c r="T37" s="32"/>
      <c r="U37" s="96"/>
      <c r="W37" s="56" t="s">
        <v>28</v>
      </c>
      <c r="X37" s="64">
        <f>X36/Z36*100</f>
        <v>96.116504854368941</v>
      </c>
      <c r="Y37" s="59">
        <f>Y36/Z36*100</f>
        <v>3.8834951456310676</v>
      </c>
      <c r="Z37" s="59"/>
      <c r="AA37" s="59"/>
    </row>
    <row r="38" spans="2:27" x14ac:dyDescent="0.25">
      <c r="B38" s="53"/>
      <c r="C38" s="54" t="s">
        <v>42</v>
      </c>
      <c r="D38" s="50">
        <v>0</v>
      </c>
      <c r="E38" s="50">
        <v>0</v>
      </c>
      <c r="F38" s="93"/>
      <c r="G38" s="94"/>
      <c r="I38" s="53"/>
      <c r="J38" s="54" t="s">
        <v>42</v>
      </c>
      <c r="K38" s="50">
        <v>0</v>
      </c>
      <c r="L38" s="58">
        <v>2</v>
      </c>
      <c r="M38" s="93" t="s">
        <v>43</v>
      </c>
      <c r="N38" s="94"/>
      <c r="P38" s="53"/>
      <c r="Q38" s="54" t="s">
        <v>42</v>
      </c>
      <c r="R38" s="50">
        <v>0</v>
      </c>
      <c r="S38" s="50">
        <v>0</v>
      </c>
      <c r="T38" s="93"/>
      <c r="U38" s="94"/>
    </row>
    <row r="39" spans="2:27" ht="15.75" thickBot="1" x14ac:dyDescent="0.3">
      <c r="B39" s="75"/>
      <c r="C39" s="76"/>
      <c r="D39" s="72">
        <v>89</v>
      </c>
      <c r="E39" s="72">
        <v>1</v>
      </c>
      <c r="F39" s="97"/>
      <c r="G39" s="98">
        <v>90</v>
      </c>
      <c r="I39" s="75"/>
      <c r="J39" s="76"/>
      <c r="K39" s="72">
        <v>5</v>
      </c>
      <c r="L39" s="72">
        <v>3</v>
      </c>
      <c r="M39" s="97"/>
      <c r="N39" s="98">
        <v>8</v>
      </c>
      <c r="P39" s="75"/>
      <c r="Q39" s="76"/>
      <c r="R39" s="72">
        <v>5</v>
      </c>
      <c r="S39" s="72">
        <v>0</v>
      </c>
      <c r="T39" s="97"/>
      <c r="U39" s="98">
        <v>5</v>
      </c>
    </row>
    <row r="40" spans="2:27" x14ac:dyDescent="0.25">
      <c r="C40" s="78"/>
      <c r="D40" s="6"/>
      <c r="E40" s="6"/>
      <c r="F40" s="6"/>
      <c r="I40" s="6"/>
      <c r="J40" s="81"/>
      <c r="K40" s="6"/>
      <c r="L40" s="6"/>
      <c r="M40" s="6"/>
      <c r="N40" s="6"/>
      <c r="P40" s="6"/>
      <c r="Q40" s="81"/>
      <c r="R40" s="6"/>
      <c r="S40" s="6"/>
      <c r="T40" s="6"/>
      <c r="U40" s="6"/>
    </row>
    <row r="41" spans="2:27" ht="19.5" thickBot="1" x14ac:dyDescent="0.35">
      <c r="B41" s="9" t="s">
        <v>44</v>
      </c>
      <c r="C41" s="83"/>
      <c r="D41" s="12"/>
      <c r="E41" s="15"/>
      <c r="F41" s="15"/>
      <c r="G41" s="14"/>
      <c r="I41" s="15" t="s">
        <v>44</v>
      </c>
      <c r="J41" s="85"/>
      <c r="K41" s="15"/>
      <c r="L41" s="12"/>
      <c r="M41" s="15"/>
      <c r="N41" s="18"/>
      <c r="P41" s="15" t="s">
        <v>44</v>
      </c>
      <c r="Q41" s="85"/>
      <c r="R41" s="12"/>
      <c r="S41" s="15"/>
      <c r="T41" s="15"/>
      <c r="U41" s="18"/>
      <c r="W41" s="9" t="s">
        <v>45</v>
      </c>
    </row>
    <row r="42" spans="2:27" ht="30" x14ac:dyDescent="0.25">
      <c r="B42" s="20" t="s">
        <v>22</v>
      </c>
      <c r="C42" s="21" t="s">
        <v>23</v>
      </c>
      <c r="D42" s="21" t="s">
        <v>24</v>
      </c>
      <c r="E42" s="21" t="s">
        <v>25</v>
      </c>
      <c r="F42" s="22" t="s">
        <v>26</v>
      </c>
      <c r="G42" s="23" t="s">
        <v>27</v>
      </c>
      <c r="I42" s="20" t="s">
        <v>22</v>
      </c>
      <c r="J42" s="21" t="s">
        <v>23</v>
      </c>
      <c r="K42" s="21" t="s">
        <v>24</v>
      </c>
      <c r="L42" s="21" t="s">
        <v>25</v>
      </c>
      <c r="M42" s="22" t="s">
        <v>26</v>
      </c>
      <c r="N42" s="23" t="s">
        <v>27</v>
      </c>
      <c r="P42" s="20" t="s">
        <v>22</v>
      </c>
      <c r="Q42" s="21" t="s">
        <v>23</v>
      </c>
      <c r="R42" s="21" t="s">
        <v>24</v>
      </c>
      <c r="S42" s="21" t="s">
        <v>25</v>
      </c>
      <c r="T42" s="22" t="s">
        <v>26</v>
      </c>
      <c r="U42" s="23" t="s">
        <v>27</v>
      </c>
      <c r="W42" s="25"/>
      <c r="X42" s="26" t="s">
        <v>24</v>
      </c>
      <c r="Y42" s="27" t="s">
        <v>25</v>
      </c>
      <c r="Z42" s="27" t="s">
        <v>27</v>
      </c>
      <c r="AA42" s="28" t="s">
        <v>28</v>
      </c>
    </row>
    <row r="43" spans="2:27" x14ac:dyDescent="0.25">
      <c r="B43" s="29" t="s">
        <v>29</v>
      </c>
      <c r="C43" s="30" t="s">
        <v>46</v>
      </c>
      <c r="D43" s="31">
        <v>85</v>
      </c>
      <c r="E43" s="32">
        <v>0</v>
      </c>
      <c r="F43" s="32"/>
      <c r="G43" s="34">
        <v>86</v>
      </c>
      <c r="I43" s="35" t="s">
        <v>29</v>
      </c>
      <c r="J43" s="30" t="s">
        <v>46</v>
      </c>
      <c r="K43" s="31">
        <v>3</v>
      </c>
      <c r="L43" s="32">
        <v>0</v>
      </c>
      <c r="M43" s="32"/>
      <c r="N43" s="37">
        <v>3</v>
      </c>
      <c r="P43" s="35" t="s">
        <v>29</v>
      </c>
      <c r="Q43" s="30" t="s">
        <v>46</v>
      </c>
      <c r="R43" s="31">
        <v>4</v>
      </c>
      <c r="S43" s="32">
        <v>0</v>
      </c>
      <c r="T43" s="32"/>
      <c r="U43" s="37">
        <v>4</v>
      </c>
      <c r="W43" s="38" t="s">
        <v>29</v>
      </c>
      <c r="X43" s="39">
        <v>93</v>
      </c>
      <c r="Y43" s="40">
        <v>0</v>
      </c>
      <c r="Z43" s="32">
        <f>SUM(X43,Y43)</f>
        <v>93</v>
      </c>
      <c r="AA43" s="41">
        <f>Z43/Z46*100</f>
        <v>90.291262135922338</v>
      </c>
    </row>
    <row r="44" spans="2:27" x14ac:dyDescent="0.25">
      <c r="B44" s="47"/>
      <c r="C44" s="48">
        <v>1</v>
      </c>
      <c r="D44" s="58">
        <v>1</v>
      </c>
      <c r="E44" s="50"/>
      <c r="F44" s="50"/>
      <c r="G44" s="52"/>
      <c r="I44" s="53"/>
      <c r="J44" s="48">
        <v>1</v>
      </c>
      <c r="K44" s="49">
        <v>0</v>
      </c>
      <c r="L44" s="50">
        <v>0</v>
      </c>
      <c r="M44" s="50"/>
      <c r="N44" s="55"/>
      <c r="P44" s="53"/>
      <c r="Q44" s="48">
        <v>1</v>
      </c>
      <c r="R44" s="49">
        <v>0</v>
      </c>
      <c r="S44" s="50">
        <v>0</v>
      </c>
      <c r="T44" s="50"/>
      <c r="U44" s="55"/>
      <c r="W44" s="99" t="s">
        <v>31</v>
      </c>
      <c r="X44" s="100">
        <v>3</v>
      </c>
      <c r="Y44" s="3">
        <v>0</v>
      </c>
      <c r="Z44" s="95">
        <f>SUM(X44,Y44)</f>
        <v>3</v>
      </c>
      <c r="AA44" s="41">
        <f>Z44/Z46*100</f>
        <v>2.912621359223301</v>
      </c>
    </row>
    <row r="45" spans="2:27" x14ac:dyDescent="0.25">
      <c r="B45" s="60" t="s">
        <v>31</v>
      </c>
      <c r="C45" s="48">
        <v>2</v>
      </c>
      <c r="D45" s="49">
        <v>0</v>
      </c>
      <c r="E45" s="50">
        <v>0</v>
      </c>
      <c r="F45" s="50"/>
      <c r="G45" s="61">
        <v>0</v>
      </c>
      <c r="I45" s="62" t="s">
        <v>31</v>
      </c>
      <c r="J45" s="48">
        <v>2</v>
      </c>
      <c r="K45" s="58">
        <v>3</v>
      </c>
      <c r="L45" s="50">
        <v>0</v>
      </c>
      <c r="M45" s="50"/>
      <c r="N45" s="63">
        <v>3</v>
      </c>
      <c r="P45" s="62" t="s">
        <v>31</v>
      </c>
      <c r="Q45" s="48">
        <v>2</v>
      </c>
      <c r="R45" s="49">
        <v>0</v>
      </c>
      <c r="S45" s="50">
        <v>0</v>
      </c>
      <c r="T45" s="50"/>
      <c r="U45" s="63">
        <v>0</v>
      </c>
      <c r="W45" s="56" t="s">
        <v>32</v>
      </c>
      <c r="X45" s="57">
        <v>2</v>
      </c>
      <c r="Y45" s="58">
        <v>5</v>
      </c>
      <c r="Z45" s="50">
        <f>SUM(X45,Y45)</f>
        <v>7</v>
      </c>
      <c r="AA45" s="59">
        <f>Z45/Z46*100</f>
        <v>6.7961165048543686</v>
      </c>
    </row>
    <row r="46" spans="2:27" ht="15" customHeight="1" x14ac:dyDescent="0.25">
      <c r="B46" s="42" t="s">
        <v>32</v>
      </c>
      <c r="C46" s="30">
        <v>4</v>
      </c>
      <c r="D46" s="32">
        <v>0</v>
      </c>
      <c r="E46" s="31">
        <v>1</v>
      </c>
      <c r="F46" s="101" t="s">
        <v>47</v>
      </c>
      <c r="G46" s="102">
        <v>4</v>
      </c>
      <c r="I46" s="44" t="s">
        <v>32</v>
      </c>
      <c r="J46" s="30">
        <v>4</v>
      </c>
      <c r="K46" s="40">
        <v>2</v>
      </c>
      <c r="L46" s="45">
        <v>0</v>
      </c>
      <c r="M46" s="103"/>
      <c r="N46" s="104">
        <v>2</v>
      </c>
      <c r="P46" s="44" t="s">
        <v>32</v>
      </c>
      <c r="Q46" s="30">
        <v>4</v>
      </c>
      <c r="R46" s="32">
        <v>0</v>
      </c>
      <c r="S46" s="45">
        <v>0</v>
      </c>
      <c r="T46" s="101"/>
      <c r="U46" s="104">
        <v>1</v>
      </c>
      <c r="W46" s="56" t="s">
        <v>27</v>
      </c>
      <c r="X46" s="64">
        <f>SUM(X43:X45)</f>
        <v>98</v>
      </c>
      <c r="Y46" s="28">
        <f>SUM(Y43:Y45)</f>
        <v>5</v>
      </c>
      <c r="Z46" s="50">
        <f>SUM(X43:Y45)</f>
        <v>103</v>
      </c>
      <c r="AA46" s="59"/>
    </row>
    <row r="47" spans="2:27" ht="20.25" customHeight="1" x14ac:dyDescent="0.25">
      <c r="B47" s="47"/>
      <c r="C47" s="48" t="s">
        <v>33</v>
      </c>
      <c r="D47" s="50">
        <v>0</v>
      </c>
      <c r="E47" s="58">
        <v>3</v>
      </c>
      <c r="F47" s="105" t="s">
        <v>48</v>
      </c>
      <c r="G47" s="68"/>
      <c r="I47" s="53"/>
      <c r="J47" s="48" t="s">
        <v>33</v>
      </c>
      <c r="K47" s="50">
        <v>0</v>
      </c>
      <c r="L47" s="49">
        <v>0</v>
      </c>
      <c r="M47" s="106"/>
      <c r="N47" s="69"/>
      <c r="P47" s="53"/>
      <c r="Q47" s="48" t="s">
        <v>33</v>
      </c>
      <c r="R47" s="50">
        <v>0</v>
      </c>
      <c r="S47" s="58">
        <v>1</v>
      </c>
      <c r="T47" s="105" t="s">
        <v>47</v>
      </c>
      <c r="U47" s="69"/>
      <c r="W47" s="56" t="s">
        <v>28</v>
      </c>
      <c r="X47" s="64">
        <f>X46/Z46*100</f>
        <v>95.145631067961162</v>
      </c>
      <c r="Y47" s="59">
        <f>Y46/Z46*100</f>
        <v>4.8543689320388346</v>
      </c>
      <c r="Z47" s="59"/>
      <c r="AA47" s="59"/>
    </row>
    <row r="48" spans="2:27" ht="15.75" thickBot="1" x14ac:dyDescent="0.3">
      <c r="B48" s="70"/>
      <c r="C48" s="71"/>
      <c r="D48" s="72">
        <v>86</v>
      </c>
      <c r="E48" s="72">
        <v>4</v>
      </c>
      <c r="F48" s="72"/>
      <c r="G48" s="74">
        <v>90</v>
      </c>
      <c r="I48" s="75"/>
      <c r="J48" s="76"/>
      <c r="K48" s="72">
        <v>8</v>
      </c>
      <c r="L48" s="72">
        <v>0</v>
      </c>
      <c r="M48" s="72"/>
      <c r="N48" s="77">
        <v>8</v>
      </c>
      <c r="P48" s="75"/>
      <c r="Q48" s="76"/>
      <c r="R48" s="72">
        <v>4</v>
      </c>
      <c r="S48" s="72">
        <v>1</v>
      </c>
      <c r="T48" s="72"/>
      <c r="U48" s="77">
        <v>5</v>
      </c>
    </row>
    <row r="49" spans="2:28" x14ac:dyDescent="0.25">
      <c r="C49" s="78"/>
      <c r="D49" s="6"/>
      <c r="E49" s="6"/>
      <c r="F49" s="6"/>
      <c r="I49" s="6"/>
      <c r="J49" s="81"/>
      <c r="K49" s="6"/>
      <c r="L49" s="6"/>
      <c r="M49" s="6"/>
      <c r="N49" s="6"/>
      <c r="P49" s="6"/>
      <c r="Q49" s="81"/>
      <c r="R49" s="6"/>
      <c r="S49" s="6"/>
      <c r="T49" s="6"/>
      <c r="U49" s="6"/>
    </row>
    <row r="50" spans="2:28" ht="19.5" thickBot="1" x14ac:dyDescent="0.35">
      <c r="B50" s="9" t="s">
        <v>49</v>
      </c>
      <c r="C50" s="83"/>
      <c r="D50" s="12"/>
      <c r="E50" s="16"/>
      <c r="F50" s="16"/>
      <c r="G50" s="11"/>
      <c r="H50" s="11"/>
      <c r="I50" s="9" t="s">
        <v>49</v>
      </c>
      <c r="J50" s="85"/>
      <c r="K50" s="16"/>
      <c r="L50" s="16"/>
      <c r="M50" s="16"/>
      <c r="N50" s="16"/>
      <c r="O50" s="11"/>
      <c r="P50" s="9" t="s">
        <v>49</v>
      </c>
      <c r="Q50" s="85"/>
      <c r="R50" s="16"/>
      <c r="S50" s="16"/>
      <c r="T50" s="16"/>
      <c r="U50" s="16"/>
      <c r="W50" s="9" t="s">
        <v>50</v>
      </c>
    </row>
    <row r="51" spans="2:28" ht="30" x14ac:dyDescent="0.25">
      <c r="B51" s="20" t="s">
        <v>22</v>
      </c>
      <c r="C51" s="21" t="s">
        <v>23</v>
      </c>
      <c r="D51" s="21" t="s">
        <v>24</v>
      </c>
      <c r="E51" s="21" t="s">
        <v>25</v>
      </c>
      <c r="F51" s="22" t="s">
        <v>26</v>
      </c>
      <c r="G51" s="23" t="s">
        <v>27</v>
      </c>
      <c r="H51" s="24"/>
      <c r="I51" s="20" t="s">
        <v>22</v>
      </c>
      <c r="J51" s="21" t="s">
        <v>23</v>
      </c>
      <c r="K51" s="21" t="s">
        <v>24</v>
      </c>
      <c r="L51" s="21" t="s">
        <v>25</v>
      </c>
      <c r="M51" s="22" t="s">
        <v>26</v>
      </c>
      <c r="N51" s="23" t="s">
        <v>27</v>
      </c>
      <c r="O51" s="24"/>
      <c r="P51" s="20" t="s">
        <v>22</v>
      </c>
      <c r="Q51" s="21" t="s">
        <v>23</v>
      </c>
      <c r="R51" s="21" t="s">
        <v>24</v>
      </c>
      <c r="S51" s="21" t="s">
        <v>25</v>
      </c>
      <c r="T51" s="22" t="s">
        <v>26</v>
      </c>
      <c r="U51" s="23" t="s">
        <v>27</v>
      </c>
      <c r="W51" s="25"/>
      <c r="X51" s="26" t="s">
        <v>24</v>
      </c>
      <c r="Y51" s="27" t="s">
        <v>25</v>
      </c>
      <c r="Z51" s="27" t="s">
        <v>27</v>
      </c>
      <c r="AA51" s="28" t="s">
        <v>28</v>
      </c>
      <c r="AB51" s="12"/>
    </row>
    <row r="52" spans="2:28" x14ac:dyDescent="0.25">
      <c r="B52" s="29" t="s">
        <v>29</v>
      </c>
      <c r="C52" s="107" t="s">
        <v>51</v>
      </c>
      <c r="D52" s="87">
        <v>87</v>
      </c>
      <c r="E52" s="108"/>
      <c r="F52" s="91" t="s">
        <v>52</v>
      </c>
      <c r="G52" s="109">
        <v>89</v>
      </c>
      <c r="I52" s="29" t="s">
        <v>29</v>
      </c>
      <c r="J52" s="107" t="s">
        <v>51</v>
      </c>
      <c r="K52" s="87">
        <v>5</v>
      </c>
      <c r="L52" s="110">
        <v>0</v>
      </c>
      <c r="M52" s="110"/>
      <c r="N52" s="109">
        <v>5</v>
      </c>
      <c r="P52" s="111" t="s">
        <v>29</v>
      </c>
      <c r="Q52" s="107" t="s">
        <v>51</v>
      </c>
      <c r="R52" s="87">
        <v>5</v>
      </c>
      <c r="S52" s="110">
        <v>0</v>
      </c>
      <c r="T52" s="110"/>
      <c r="U52" s="109">
        <v>5</v>
      </c>
      <c r="W52" s="38" t="s">
        <v>29</v>
      </c>
      <c r="X52" s="39">
        <v>99</v>
      </c>
      <c r="Y52" s="40">
        <v>0</v>
      </c>
      <c r="Z52" s="32">
        <f>SUM(X52,Y52)</f>
        <v>99</v>
      </c>
      <c r="AA52" s="41">
        <f>Z52/Z55*100</f>
        <v>96.116504854368941</v>
      </c>
    </row>
    <row r="53" spans="2:28" x14ac:dyDescent="0.25">
      <c r="B53" s="47"/>
      <c r="C53" s="112" t="s">
        <v>53</v>
      </c>
      <c r="D53" s="58">
        <v>2</v>
      </c>
      <c r="E53" s="113"/>
      <c r="F53" s="114" t="s">
        <v>54</v>
      </c>
      <c r="G53" s="115"/>
      <c r="I53" s="47"/>
      <c r="J53" s="112" t="s">
        <v>53</v>
      </c>
      <c r="K53" s="59">
        <v>0</v>
      </c>
      <c r="L53" s="59">
        <v>0</v>
      </c>
      <c r="M53" s="59"/>
      <c r="N53" s="115"/>
      <c r="P53" s="60"/>
      <c r="Q53" s="112" t="s">
        <v>53</v>
      </c>
      <c r="R53" s="59">
        <v>0</v>
      </c>
      <c r="S53" s="59">
        <v>0</v>
      </c>
      <c r="T53" s="59"/>
      <c r="U53" s="115"/>
      <c r="V53" s="41"/>
      <c r="W53" s="41" t="s">
        <v>31</v>
      </c>
      <c r="X53" s="2">
        <v>1</v>
      </c>
      <c r="Y53" s="40">
        <v>0</v>
      </c>
      <c r="Z53" s="32">
        <f>SUM(X53,Y53)</f>
        <v>1</v>
      </c>
      <c r="AA53" s="41">
        <f>Z53/Z55*100</f>
        <v>0.97087378640776689</v>
      </c>
    </row>
    <row r="54" spans="2:28" x14ac:dyDescent="0.25">
      <c r="B54" s="60" t="s">
        <v>31</v>
      </c>
      <c r="C54" s="116" t="s">
        <v>55</v>
      </c>
      <c r="D54" s="58">
        <v>1</v>
      </c>
      <c r="E54" s="113"/>
      <c r="F54" s="117" t="s">
        <v>54</v>
      </c>
      <c r="G54" s="118">
        <v>1</v>
      </c>
      <c r="I54" s="60" t="s">
        <v>31</v>
      </c>
      <c r="J54" s="116" t="s">
        <v>55</v>
      </c>
      <c r="K54" s="114">
        <v>0</v>
      </c>
      <c r="L54" s="50">
        <v>0</v>
      </c>
      <c r="M54" s="56"/>
      <c r="N54" s="118">
        <v>0</v>
      </c>
      <c r="P54" s="60" t="s">
        <v>31</v>
      </c>
      <c r="Q54" s="116" t="s">
        <v>55</v>
      </c>
      <c r="R54" s="114">
        <v>0</v>
      </c>
      <c r="S54" s="50">
        <v>0</v>
      </c>
      <c r="T54" s="56"/>
      <c r="U54" s="118">
        <v>0</v>
      </c>
      <c r="W54" s="56" t="s">
        <v>32</v>
      </c>
      <c r="X54" s="57">
        <v>3</v>
      </c>
      <c r="Y54" s="58">
        <v>0</v>
      </c>
      <c r="Z54" s="50">
        <f>SUM(X54,Y54)</f>
        <v>3</v>
      </c>
      <c r="AA54" s="59">
        <f>Z54/Z55*100</f>
        <v>2.912621359223301</v>
      </c>
    </row>
    <row r="55" spans="2:28" x14ac:dyDescent="0.25">
      <c r="B55" s="29" t="s">
        <v>32</v>
      </c>
      <c r="C55" s="30" t="s">
        <v>56</v>
      </c>
      <c r="D55" s="119">
        <v>0</v>
      </c>
      <c r="E55" s="32">
        <v>0</v>
      </c>
      <c r="F55" s="41"/>
      <c r="G55" s="120">
        <v>0</v>
      </c>
      <c r="I55" s="29" t="s">
        <v>32</v>
      </c>
      <c r="J55" s="30" t="s">
        <v>56</v>
      </c>
      <c r="K55" s="40">
        <v>3</v>
      </c>
      <c r="L55" s="32">
        <v>0</v>
      </c>
      <c r="M55" s="41"/>
      <c r="N55" s="120">
        <v>3</v>
      </c>
      <c r="P55" s="29" t="s">
        <v>32</v>
      </c>
      <c r="Q55" s="30" t="s">
        <v>56</v>
      </c>
      <c r="R55" s="119">
        <v>0</v>
      </c>
      <c r="S55" s="32">
        <v>0</v>
      </c>
      <c r="T55" s="41"/>
      <c r="U55" s="120">
        <v>0</v>
      </c>
      <c r="W55" s="56" t="s">
        <v>27</v>
      </c>
      <c r="X55" s="64">
        <f>SUM(X52:X54)</f>
        <v>103</v>
      </c>
      <c r="Y55" s="64">
        <f>SUM(Y52:Y54)</f>
        <v>0</v>
      </c>
      <c r="Z55" s="50">
        <f>SUM(X52:Y54)</f>
        <v>103</v>
      </c>
      <c r="AA55" s="59"/>
    </row>
    <row r="56" spans="2:28" x14ac:dyDescent="0.25">
      <c r="B56" s="47"/>
      <c r="C56" s="48" t="s">
        <v>57</v>
      </c>
      <c r="D56" s="114">
        <v>0</v>
      </c>
      <c r="E56" s="50">
        <v>0</v>
      </c>
      <c r="F56" s="50"/>
      <c r="G56" s="121"/>
      <c r="I56" s="47"/>
      <c r="J56" s="48" t="s">
        <v>57</v>
      </c>
      <c r="K56" s="114">
        <v>0</v>
      </c>
      <c r="L56" s="50">
        <v>0</v>
      </c>
      <c r="M56" s="50"/>
      <c r="N56" s="121"/>
      <c r="P56" s="47"/>
      <c r="Q56" s="48" t="s">
        <v>57</v>
      </c>
      <c r="R56" s="114">
        <v>0</v>
      </c>
      <c r="S56" s="50">
        <v>0</v>
      </c>
      <c r="T56" s="50"/>
      <c r="U56" s="121"/>
      <c r="W56" s="56" t="s">
        <v>28</v>
      </c>
      <c r="X56" s="64">
        <f>X55/Z55*100</f>
        <v>100</v>
      </c>
      <c r="Y56" s="59">
        <f>Y55/Z55*100</f>
        <v>0</v>
      </c>
      <c r="Z56" s="59"/>
      <c r="AA56" s="59"/>
    </row>
    <row r="57" spans="2:28" ht="15.75" thickBot="1" x14ac:dyDescent="0.3">
      <c r="B57" s="70"/>
      <c r="C57" s="71"/>
      <c r="D57" s="72">
        <v>90</v>
      </c>
      <c r="E57" s="72">
        <v>0</v>
      </c>
      <c r="F57" s="97"/>
      <c r="G57" s="98">
        <v>90</v>
      </c>
      <c r="I57" s="70"/>
      <c r="J57" s="71"/>
      <c r="K57" s="72">
        <v>8</v>
      </c>
      <c r="L57" s="72">
        <v>0</v>
      </c>
      <c r="M57" s="97"/>
      <c r="N57" s="98">
        <v>8</v>
      </c>
      <c r="P57" s="70"/>
      <c r="Q57" s="71"/>
      <c r="R57" s="72">
        <v>5</v>
      </c>
      <c r="S57" s="72"/>
      <c r="T57" s="97">
        <v>0</v>
      </c>
      <c r="U57" s="98">
        <v>5</v>
      </c>
    </row>
    <row r="58" spans="2:28" x14ac:dyDescent="0.25">
      <c r="C58" s="78"/>
      <c r="D58" s="6"/>
      <c r="E58" s="6"/>
      <c r="F58" s="6"/>
      <c r="I58" s="6"/>
      <c r="J58" s="81"/>
      <c r="K58" s="6"/>
      <c r="L58" s="6"/>
      <c r="M58" s="6"/>
      <c r="N58" s="6"/>
      <c r="P58" s="6"/>
      <c r="Q58" s="81"/>
      <c r="R58" s="6"/>
      <c r="S58" s="6"/>
      <c r="T58" s="6"/>
      <c r="U58" s="6"/>
    </row>
    <row r="59" spans="2:28" ht="19.5" thickBot="1" x14ac:dyDescent="0.35">
      <c r="B59" s="9" t="s">
        <v>58</v>
      </c>
      <c r="C59" s="83"/>
      <c r="D59" s="84"/>
      <c r="E59" s="16"/>
      <c r="F59" s="16"/>
      <c r="G59" s="11"/>
      <c r="I59" s="9" t="s">
        <v>58</v>
      </c>
      <c r="J59" s="83"/>
      <c r="K59" s="84"/>
      <c r="L59" s="16"/>
      <c r="M59" s="16"/>
      <c r="N59" s="16"/>
      <c r="P59" s="9" t="s">
        <v>58</v>
      </c>
      <c r="Q59" s="83"/>
      <c r="R59" s="84"/>
      <c r="S59" s="16"/>
      <c r="T59" s="16"/>
      <c r="U59" s="16"/>
      <c r="W59" s="9" t="s">
        <v>59</v>
      </c>
    </row>
    <row r="60" spans="2:28" ht="30" x14ac:dyDescent="0.25">
      <c r="B60" s="20" t="s">
        <v>22</v>
      </c>
      <c r="C60" s="21" t="s">
        <v>23</v>
      </c>
      <c r="D60" s="21" t="s">
        <v>24</v>
      </c>
      <c r="E60" s="21" t="s">
        <v>25</v>
      </c>
      <c r="F60" s="22" t="s">
        <v>26</v>
      </c>
      <c r="G60" s="23" t="s">
        <v>27</v>
      </c>
      <c r="I60" s="20" t="s">
        <v>22</v>
      </c>
      <c r="J60" s="21" t="s">
        <v>23</v>
      </c>
      <c r="K60" s="21" t="s">
        <v>24</v>
      </c>
      <c r="L60" s="21" t="s">
        <v>25</v>
      </c>
      <c r="M60" s="22" t="s">
        <v>26</v>
      </c>
      <c r="N60" s="23" t="s">
        <v>27</v>
      </c>
      <c r="P60" s="20" t="s">
        <v>22</v>
      </c>
      <c r="Q60" s="21" t="s">
        <v>23</v>
      </c>
      <c r="R60" s="21" t="s">
        <v>24</v>
      </c>
      <c r="S60" s="21" t="s">
        <v>25</v>
      </c>
      <c r="T60" s="22" t="s">
        <v>26</v>
      </c>
      <c r="U60" s="23" t="s">
        <v>27</v>
      </c>
      <c r="W60" s="25"/>
      <c r="X60" s="26" t="s">
        <v>24</v>
      </c>
      <c r="Y60" s="27" t="s">
        <v>25</v>
      </c>
      <c r="Z60" s="27" t="s">
        <v>27</v>
      </c>
      <c r="AA60" s="28" t="s">
        <v>28</v>
      </c>
    </row>
    <row r="61" spans="2:28" x14ac:dyDescent="0.25">
      <c r="B61" s="29" t="s">
        <v>29</v>
      </c>
      <c r="C61" s="122" t="s">
        <v>30</v>
      </c>
      <c r="D61" s="87">
        <v>68</v>
      </c>
      <c r="E61" s="123">
        <v>0</v>
      </c>
      <c r="F61" s="124"/>
      <c r="G61" s="90">
        <v>90</v>
      </c>
      <c r="I61" s="29" t="s">
        <v>29</v>
      </c>
      <c r="J61" s="86" t="s">
        <v>30</v>
      </c>
      <c r="K61" s="87">
        <v>3</v>
      </c>
      <c r="L61" s="123">
        <v>0</v>
      </c>
      <c r="M61" s="124"/>
      <c r="N61" s="90">
        <v>4</v>
      </c>
      <c r="P61" s="29" t="s">
        <v>29</v>
      </c>
      <c r="Q61" s="86" t="s">
        <v>30</v>
      </c>
      <c r="R61" s="87">
        <v>5</v>
      </c>
      <c r="S61" s="123">
        <v>0</v>
      </c>
      <c r="T61" s="124"/>
      <c r="U61" s="90">
        <v>5</v>
      </c>
      <c r="W61" s="38" t="s">
        <v>29</v>
      </c>
      <c r="X61" s="39">
        <v>98</v>
      </c>
      <c r="Y61" s="40">
        <v>1</v>
      </c>
      <c r="Z61" s="32">
        <f>SUM(X61,Y61)</f>
        <v>99</v>
      </c>
      <c r="AA61" s="41">
        <f>Z61/Z63*100</f>
        <v>96.116504854368941</v>
      </c>
    </row>
    <row r="62" spans="2:28" x14ac:dyDescent="0.25">
      <c r="B62" s="42"/>
      <c r="C62" s="30">
        <v>0.5</v>
      </c>
      <c r="D62" s="31">
        <v>19</v>
      </c>
      <c r="E62" s="32">
        <v>0</v>
      </c>
      <c r="F62" s="6"/>
      <c r="G62" s="96"/>
      <c r="I62" s="42"/>
      <c r="J62" s="36">
        <v>0.5</v>
      </c>
      <c r="K62" s="45">
        <v>0</v>
      </c>
      <c r="L62" s="32">
        <v>0</v>
      </c>
      <c r="M62" s="6"/>
      <c r="N62" s="96"/>
      <c r="P62" s="42"/>
      <c r="Q62" s="36">
        <v>0.5</v>
      </c>
      <c r="R62" s="45">
        <v>0</v>
      </c>
      <c r="S62" s="32">
        <v>0</v>
      </c>
      <c r="T62" s="6"/>
      <c r="U62" s="96"/>
      <c r="W62" s="56" t="s">
        <v>32</v>
      </c>
      <c r="X62" s="57">
        <v>0</v>
      </c>
      <c r="Y62" s="58">
        <v>4</v>
      </c>
      <c r="Z62" s="50">
        <f>SUM(X62,Y62)</f>
        <v>4</v>
      </c>
      <c r="AA62" s="59">
        <f>Z62/Z63*100</f>
        <v>3.8834951456310676</v>
      </c>
    </row>
    <row r="63" spans="2:28" x14ac:dyDescent="0.25">
      <c r="B63" s="42"/>
      <c r="C63" s="30">
        <v>1</v>
      </c>
      <c r="D63" s="31">
        <v>2</v>
      </c>
      <c r="E63" s="119">
        <v>0</v>
      </c>
      <c r="F63" s="125"/>
      <c r="G63" s="96"/>
      <c r="I63" s="42"/>
      <c r="J63" s="36">
        <v>1</v>
      </c>
      <c r="K63" s="45">
        <v>0</v>
      </c>
      <c r="L63" s="40">
        <v>1</v>
      </c>
      <c r="M63" s="125" t="s">
        <v>60</v>
      </c>
      <c r="N63" s="96"/>
      <c r="P63" s="42"/>
      <c r="Q63" s="36">
        <v>1</v>
      </c>
      <c r="R63" s="45">
        <v>0</v>
      </c>
      <c r="S63" s="119">
        <v>0</v>
      </c>
      <c r="T63" s="125"/>
      <c r="U63" s="96"/>
      <c r="W63" s="56" t="s">
        <v>27</v>
      </c>
      <c r="X63" s="64">
        <f>SUM(X61,X62)</f>
        <v>98</v>
      </c>
      <c r="Y63" s="50">
        <f>SUM(Y61,Y62)</f>
        <v>5</v>
      </c>
      <c r="Z63" s="50">
        <f>SUM(X61:Y62)</f>
        <v>103</v>
      </c>
      <c r="AA63" s="59"/>
    </row>
    <row r="64" spans="2:28" x14ac:dyDescent="0.25">
      <c r="B64" s="47"/>
      <c r="C64" s="48">
        <v>2</v>
      </c>
      <c r="D64" s="58">
        <v>1</v>
      </c>
      <c r="E64" s="50">
        <v>0</v>
      </c>
      <c r="F64" s="50"/>
      <c r="G64" s="94"/>
      <c r="I64" s="47"/>
      <c r="J64" s="54">
        <v>2</v>
      </c>
      <c r="K64" s="114">
        <v>0</v>
      </c>
      <c r="L64" s="50">
        <v>0</v>
      </c>
      <c r="M64" s="50"/>
      <c r="N64" s="94"/>
      <c r="P64" s="47"/>
      <c r="Q64" s="54">
        <v>2</v>
      </c>
      <c r="R64" s="114">
        <v>0</v>
      </c>
      <c r="S64" s="50">
        <v>0</v>
      </c>
      <c r="T64" s="50"/>
      <c r="U64" s="94"/>
      <c r="W64" s="56" t="s">
        <v>28</v>
      </c>
      <c r="X64" s="64">
        <f>X63/Z63*100</f>
        <v>95.145631067961162</v>
      </c>
      <c r="Y64" s="59">
        <f>Y63/Z63*100</f>
        <v>4.8543689320388346</v>
      </c>
      <c r="Z64" s="59"/>
      <c r="AA64" s="59"/>
    </row>
    <row r="65" spans="2:28" x14ac:dyDescent="0.25">
      <c r="B65" s="29" t="s">
        <v>32</v>
      </c>
      <c r="C65" s="30">
        <v>4</v>
      </c>
      <c r="D65" s="32">
        <v>0</v>
      </c>
      <c r="E65" s="32">
        <v>0</v>
      </c>
      <c r="F65" s="6"/>
      <c r="G65" s="90">
        <v>0</v>
      </c>
      <c r="I65" s="29" t="s">
        <v>32</v>
      </c>
      <c r="J65" s="36">
        <v>4</v>
      </c>
      <c r="K65" s="32">
        <v>0</v>
      </c>
      <c r="L65" s="32">
        <v>0</v>
      </c>
      <c r="M65" s="6"/>
      <c r="N65" s="90">
        <v>4</v>
      </c>
      <c r="P65" s="29" t="s">
        <v>32</v>
      </c>
      <c r="Q65" s="36">
        <v>4</v>
      </c>
      <c r="R65" s="32">
        <v>0</v>
      </c>
      <c r="S65" s="32">
        <v>0</v>
      </c>
      <c r="T65" s="6"/>
      <c r="U65" s="90">
        <v>0</v>
      </c>
    </row>
    <row r="66" spans="2:28" x14ac:dyDescent="0.25">
      <c r="B66" s="42"/>
      <c r="C66" s="30">
        <v>8</v>
      </c>
      <c r="D66" s="32">
        <v>0</v>
      </c>
      <c r="E66" s="32">
        <v>0</v>
      </c>
      <c r="F66" s="6"/>
      <c r="G66" s="96"/>
      <c r="I66" s="42"/>
      <c r="J66" s="36">
        <v>8</v>
      </c>
      <c r="K66" s="32">
        <v>0</v>
      </c>
      <c r="L66" s="32">
        <v>0</v>
      </c>
      <c r="M66" s="6"/>
      <c r="N66" s="96"/>
      <c r="P66" s="42"/>
      <c r="Q66" s="36">
        <v>8</v>
      </c>
      <c r="R66" s="32">
        <v>0</v>
      </c>
      <c r="S66" s="32">
        <v>0</v>
      </c>
      <c r="T66" s="6"/>
      <c r="U66" s="96"/>
    </row>
    <row r="67" spans="2:28" x14ac:dyDescent="0.25">
      <c r="B67" s="47"/>
      <c r="C67" s="48" t="s">
        <v>61</v>
      </c>
      <c r="D67" s="50">
        <v>0</v>
      </c>
      <c r="E67" s="49">
        <v>0</v>
      </c>
      <c r="F67" s="126"/>
      <c r="G67" s="94"/>
      <c r="I67" s="47"/>
      <c r="J67" s="54" t="s">
        <v>61</v>
      </c>
      <c r="K67" s="50">
        <v>0</v>
      </c>
      <c r="L67" s="58">
        <v>4</v>
      </c>
      <c r="M67" s="126" t="s">
        <v>62</v>
      </c>
      <c r="N67" s="94"/>
      <c r="P67" s="47"/>
      <c r="Q67" s="54" t="s">
        <v>61</v>
      </c>
      <c r="R67" s="50">
        <v>0</v>
      </c>
      <c r="S67" s="49">
        <v>0</v>
      </c>
      <c r="T67" s="126"/>
      <c r="U67" s="94"/>
    </row>
    <row r="68" spans="2:28" ht="15.75" thickBot="1" x14ac:dyDescent="0.3">
      <c r="B68" s="70"/>
      <c r="C68" s="71"/>
      <c r="D68" s="72">
        <v>90</v>
      </c>
      <c r="E68" s="72">
        <v>0</v>
      </c>
      <c r="F68" s="97"/>
      <c r="G68" s="98">
        <v>90</v>
      </c>
      <c r="I68" s="75"/>
      <c r="J68" s="76"/>
      <c r="K68" s="72">
        <v>3</v>
      </c>
      <c r="L68" s="72">
        <v>5</v>
      </c>
      <c r="M68" s="97"/>
      <c r="N68" s="98">
        <v>8</v>
      </c>
      <c r="P68" s="75"/>
      <c r="Q68" s="76"/>
      <c r="R68" s="72">
        <v>5</v>
      </c>
      <c r="S68" s="72">
        <v>0</v>
      </c>
      <c r="T68" s="97"/>
      <c r="U68" s="98">
        <v>5</v>
      </c>
    </row>
    <row r="69" spans="2:28" x14ac:dyDescent="0.25">
      <c r="C69" s="78"/>
      <c r="D69" s="6"/>
      <c r="E69" s="6"/>
      <c r="F69" s="6"/>
      <c r="I69" s="6"/>
      <c r="J69" s="81"/>
      <c r="K69" s="6"/>
      <c r="L69" s="6"/>
      <c r="M69" s="6"/>
      <c r="N69" s="6"/>
      <c r="P69" s="6"/>
      <c r="Q69" s="81"/>
      <c r="R69" s="6"/>
      <c r="S69" s="6"/>
      <c r="T69" s="6"/>
      <c r="U69" s="6"/>
    </row>
    <row r="70" spans="2:28" ht="19.5" thickBot="1" x14ac:dyDescent="0.35">
      <c r="B70" s="9" t="s">
        <v>63</v>
      </c>
      <c r="C70" s="83"/>
      <c r="D70" s="84"/>
      <c r="E70" s="16"/>
      <c r="F70" s="16"/>
      <c r="G70" s="11"/>
      <c r="I70" s="9" t="s">
        <v>63</v>
      </c>
      <c r="J70" s="85"/>
      <c r="K70" s="84"/>
      <c r="L70" s="16"/>
      <c r="M70" s="16"/>
      <c r="N70" s="16"/>
      <c r="P70" s="9" t="s">
        <v>63</v>
      </c>
      <c r="Q70" s="85"/>
      <c r="R70" s="84"/>
      <c r="S70" s="16"/>
      <c r="T70" s="16"/>
      <c r="U70" s="16"/>
      <c r="W70" s="9" t="s">
        <v>64</v>
      </c>
      <c r="AB70" s="12"/>
    </row>
    <row r="71" spans="2:28" ht="30" x14ac:dyDescent="0.25">
      <c r="B71" s="20" t="s">
        <v>22</v>
      </c>
      <c r="C71" s="21" t="s">
        <v>23</v>
      </c>
      <c r="D71" s="21" t="s">
        <v>24</v>
      </c>
      <c r="E71" s="21" t="s">
        <v>25</v>
      </c>
      <c r="F71" s="22" t="s">
        <v>26</v>
      </c>
      <c r="G71" s="23" t="s">
        <v>27</v>
      </c>
      <c r="I71" s="20" t="s">
        <v>22</v>
      </c>
      <c r="J71" s="21" t="s">
        <v>23</v>
      </c>
      <c r="K71" s="21" t="s">
        <v>24</v>
      </c>
      <c r="L71" s="21" t="s">
        <v>25</v>
      </c>
      <c r="M71" s="22" t="s">
        <v>26</v>
      </c>
      <c r="N71" s="23" t="s">
        <v>27</v>
      </c>
      <c r="P71" s="20" t="s">
        <v>22</v>
      </c>
      <c r="Q71" s="21" t="s">
        <v>23</v>
      </c>
      <c r="R71" s="21" t="s">
        <v>24</v>
      </c>
      <c r="S71" s="21" t="s">
        <v>25</v>
      </c>
      <c r="T71" s="22" t="s">
        <v>26</v>
      </c>
      <c r="U71" s="23" t="s">
        <v>27</v>
      </c>
      <c r="W71" s="25"/>
      <c r="X71" s="26" t="s">
        <v>24</v>
      </c>
      <c r="Y71" s="27" t="s">
        <v>25</v>
      </c>
      <c r="Z71" s="27" t="s">
        <v>27</v>
      </c>
      <c r="AA71" s="28" t="s">
        <v>28</v>
      </c>
    </row>
    <row r="72" spans="2:28" x14ac:dyDescent="0.25">
      <c r="B72" s="35" t="s">
        <v>29</v>
      </c>
      <c r="C72" s="86" t="s">
        <v>30</v>
      </c>
      <c r="D72" s="87">
        <v>74</v>
      </c>
      <c r="E72" s="123">
        <v>0</v>
      </c>
      <c r="F72" s="124"/>
      <c r="G72" s="90">
        <v>87</v>
      </c>
      <c r="I72" s="35" t="s">
        <v>29</v>
      </c>
      <c r="J72" s="86" t="s">
        <v>30</v>
      </c>
      <c r="K72" s="87">
        <v>3</v>
      </c>
      <c r="L72" s="123">
        <v>0</v>
      </c>
      <c r="M72" s="124"/>
      <c r="N72" s="90">
        <v>4</v>
      </c>
      <c r="P72" s="35" t="s">
        <v>29</v>
      </c>
      <c r="Q72" s="86" t="s">
        <v>30</v>
      </c>
      <c r="R72" s="87">
        <v>5</v>
      </c>
      <c r="S72" s="123">
        <v>0</v>
      </c>
      <c r="T72" s="124"/>
      <c r="U72" s="90">
        <v>5</v>
      </c>
      <c r="W72" s="38" t="s">
        <v>29</v>
      </c>
      <c r="X72" s="39">
        <v>95</v>
      </c>
      <c r="Y72" s="40">
        <v>1</v>
      </c>
      <c r="Z72" s="32">
        <f>SUM(X72,Y72)</f>
        <v>96</v>
      </c>
      <c r="AA72" s="41">
        <f>Z72/Z74*100</f>
        <v>93.203883495145632</v>
      </c>
    </row>
    <row r="73" spans="2:28" x14ac:dyDescent="0.25">
      <c r="B73" s="44"/>
      <c r="C73" s="36">
        <v>0.5</v>
      </c>
      <c r="D73" s="31">
        <v>12</v>
      </c>
      <c r="E73" s="119">
        <v>0</v>
      </c>
      <c r="F73" s="125"/>
      <c r="G73" s="96"/>
      <c r="I73" s="44"/>
      <c r="J73" s="36">
        <v>0.5</v>
      </c>
      <c r="K73" s="45">
        <v>0</v>
      </c>
      <c r="L73" s="40">
        <v>1</v>
      </c>
      <c r="M73" t="s">
        <v>60</v>
      </c>
      <c r="N73" s="96"/>
      <c r="P73" s="44"/>
      <c r="Q73" s="36">
        <v>0.5</v>
      </c>
      <c r="R73" s="45">
        <v>0</v>
      </c>
      <c r="S73" s="32">
        <v>0</v>
      </c>
      <c r="T73" s="6"/>
      <c r="U73" s="96"/>
      <c r="W73" s="56" t="s">
        <v>32</v>
      </c>
      <c r="X73" s="57">
        <v>0</v>
      </c>
      <c r="Y73" s="58">
        <v>7</v>
      </c>
      <c r="Z73" s="50">
        <f>SUM(X73,Y73)</f>
        <v>7</v>
      </c>
      <c r="AA73" s="59">
        <f>Z73/Z74*100</f>
        <v>6.7961165048543686</v>
      </c>
    </row>
    <row r="74" spans="2:28" x14ac:dyDescent="0.25">
      <c r="B74" s="44"/>
      <c r="C74" s="36">
        <v>1</v>
      </c>
      <c r="D74" s="31">
        <v>1</v>
      </c>
      <c r="E74" s="32">
        <v>0</v>
      </c>
      <c r="F74" s="32"/>
      <c r="G74" s="96"/>
      <c r="I74" s="44"/>
      <c r="J74" s="36">
        <v>1</v>
      </c>
      <c r="K74" s="45">
        <v>0</v>
      </c>
      <c r="L74" s="32">
        <v>0</v>
      </c>
      <c r="M74" s="32"/>
      <c r="N74" s="96"/>
      <c r="P74" s="44"/>
      <c r="Q74" s="36">
        <v>1</v>
      </c>
      <c r="R74" s="45">
        <v>0</v>
      </c>
      <c r="S74" s="119">
        <v>0</v>
      </c>
      <c r="T74" s="119"/>
      <c r="U74" s="96"/>
      <c r="W74" s="56" t="s">
        <v>27</v>
      </c>
      <c r="X74" s="64">
        <f>SUM(X72,X73)</f>
        <v>95</v>
      </c>
      <c r="Y74" s="50">
        <f>SUM(Y72,Y73)</f>
        <v>8</v>
      </c>
      <c r="Z74" s="50">
        <f>SUM(X72:Y73)</f>
        <v>103</v>
      </c>
      <c r="AA74" s="59"/>
    </row>
    <row r="75" spans="2:28" x14ac:dyDescent="0.25">
      <c r="B75" s="53"/>
      <c r="C75" s="54">
        <v>2</v>
      </c>
      <c r="D75" s="50">
        <v>0</v>
      </c>
      <c r="E75" s="50">
        <v>0</v>
      </c>
      <c r="F75" s="127"/>
      <c r="G75" s="94"/>
      <c r="I75" s="53"/>
      <c r="J75" s="54">
        <v>2</v>
      </c>
      <c r="K75" s="50">
        <v>0</v>
      </c>
      <c r="L75" s="50">
        <v>0</v>
      </c>
      <c r="M75" s="127"/>
      <c r="N75" s="94"/>
      <c r="P75" s="53"/>
      <c r="Q75" s="54">
        <v>2</v>
      </c>
      <c r="R75" s="114">
        <v>0</v>
      </c>
      <c r="S75" s="50">
        <v>0</v>
      </c>
      <c r="T75" s="127"/>
      <c r="U75" s="94"/>
      <c r="W75" s="56" t="s">
        <v>28</v>
      </c>
      <c r="X75" s="64">
        <f>X74/Z74*100</f>
        <v>92.233009708737868</v>
      </c>
      <c r="Y75" s="59">
        <f>Y74/Z74*100</f>
        <v>7.7669902912621351</v>
      </c>
      <c r="Z75" s="59"/>
      <c r="AA75" s="59"/>
    </row>
    <row r="76" spans="2:28" x14ac:dyDescent="0.25">
      <c r="B76" s="35" t="s">
        <v>32</v>
      </c>
      <c r="C76" s="36">
        <v>4</v>
      </c>
      <c r="D76" s="32">
        <v>0</v>
      </c>
      <c r="E76" s="31">
        <v>1</v>
      </c>
      <c r="F76" s="128" t="s">
        <v>65</v>
      </c>
      <c r="G76" s="90">
        <v>3</v>
      </c>
      <c r="I76" s="35" t="s">
        <v>32</v>
      </c>
      <c r="J76" s="36">
        <v>4</v>
      </c>
      <c r="K76" s="32">
        <v>0</v>
      </c>
      <c r="L76" s="45">
        <v>0</v>
      </c>
      <c r="M76" s="128"/>
      <c r="N76" s="90">
        <v>4</v>
      </c>
      <c r="P76" s="35" t="s">
        <v>32</v>
      </c>
      <c r="Q76" s="36">
        <v>4</v>
      </c>
      <c r="R76" s="32">
        <v>0</v>
      </c>
      <c r="S76" s="32">
        <v>0</v>
      </c>
      <c r="T76" s="6"/>
      <c r="U76" s="90">
        <v>0</v>
      </c>
    </row>
    <row r="77" spans="2:28" x14ac:dyDescent="0.25">
      <c r="B77" s="44"/>
      <c r="C77" s="36">
        <v>8</v>
      </c>
      <c r="D77" s="32">
        <v>0</v>
      </c>
      <c r="E77" s="45">
        <v>0</v>
      </c>
      <c r="F77" s="129"/>
      <c r="G77" s="96"/>
      <c r="I77" s="44"/>
      <c r="J77" s="36">
        <v>8</v>
      </c>
      <c r="K77" s="32">
        <v>0</v>
      </c>
      <c r="L77" s="31">
        <v>3</v>
      </c>
      <c r="M77" s="129" t="s">
        <v>66</v>
      </c>
      <c r="N77" s="96"/>
      <c r="P77" s="44"/>
      <c r="Q77" s="36">
        <v>8</v>
      </c>
      <c r="R77" s="32">
        <v>0</v>
      </c>
      <c r="S77" s="32">
        <v>0</v>
      </c>
      <c r="T77" s="6"/>
      <c r="U77" s="96"/>
    </row>
    <row r="78" spans="2:28" x14ac:dyDescent="0.25">
      <c r="B78" s="53"/>
      <c r="C78" s="54" t="s">
        <v>61</v>
      </c>
      <c r="D78" s="50">
        <v>0</v>
      </c>
      <c r="E78" s="58">
        <v>2</v>
      </c>
      <c r="F78" s="130" t="s">
        <v>67</v>
      </c>
      <c r="G78" s="94"/>
      <c r="I78" s="53"/>
      <c r="J78" s="54" t="s">
        <v>61</v>
      </c>
      <c r="K78" s="50">
        <v>0</v>
      </c>
      <c r="L78" s="58">
        <v>1</v>
      </c>
      <c r="M78" s="130" t="s">
        <v>60</v>
      </c>
      <c r="N78" s="94"/>
      <c r="P78" s="53"/>
      <c r="Q78" s="54" t="s">
        <v>61</v>
      </c>
      <c r="R78" s="50">
        <v>0</v>
      </c>
      <c r="S78" s="49">
        <v>0</v>
      </c>
      <c r="T78" s="126"/>
      <c r="U78" s="94"/>
    </row>
    <row r="79" spans="2:28" ht="15.75" thickBot="1" x14ac:dyDescent="0.3">
      <c r="B79" s="75"/>
      <c r="C79" s="76"/>
      <c r="D79" s="72">
        <v>87</v>
      </c>
      <c r="E79" s="72">
        <v>3</v>
      </c>
      <c r="F79" s="97"/>
      <c r="G79" s="98">
        <v>90</v>
      </c>
      <c r="I79" s="75"/>
      <c r="J79" s="76"/>
      <c r="K79" s="72">
        <v>3</v>
      </c>
      <c r="L79" s="72">
        <v>5</v>
      </c>
      <c r="M79" s="97"/>
      <c r="N79" s="98">
        <v>8</v>
      </c>
      <c r="P79" s="75"/>
      <c r="Q79" s="76"/>
      <c r="R79" s="72">
        <v>5</v>
      </c>
      <c r="S79" s="72">
        <v>0</v>
      </c>
      <c r="T79" s="97"/>
      <c r="U79" s="98">
        <v>5</v>
      </c>
    </row>
    <row r="80" spans="2:28" x14ac:dyDescent="0.25">
      <c r="C80" s="78"/>
      <c r="D80" s="6"/>
      <c r="E80" s="6"/>
      <c r="F80" s="6"/>
      <c r="I80" s="6"/>
      <c r="J80" s="81"/>
      <c r="K80" s="6"/>
      <c r="L80" s="6"/>
      <c r="M80" s="6"/>
      <c r="N80" s="6"/>
      <c r="P80" s="6"/>
      <c r="Q80" s="81"/>
      <c r="R80" s="6"/>
      <c r="S80" s="6"/>
      <c r="T80" s="6"/>
      <c r="U80" s="6"/>
    </row>
    <row r="81" spans="2:28" ht="19.5" thickBot="1" x14ac:dyDescent="0.35">
      <c r="B81" s="9" t="s">
        <v>68</v>
      </c>
      <c r="C81" s="83"/>
      <c r="D81" s="12"/>
      <c r="E81" s="16"/>
      <c r="F81" s="16"/>
      <c r="G81" s="11"/>
      <c r="H81" s="11"/>
      <c r="I81" s="15" t="s">
        <v>68</v>
      </c>
      <c r="J81" s="85"/>
      <c r="K81" s="12"/>
      <c r="L81" s="16"/>
      <c r="M81" s="16"/>
      <c r="N81" s="16"/>
      <c r="P81" s="15" t="s">
        <v>69</v>
      </c>
      <c r="Q81" s="85"/>
      <c r="R81" s="12"/>
      <c r="S81" s="16"/>
      <c r="T81" s="16"/>
      <c r="U81" s="16"/>
      <c r="W81" s="9" t="s">
        <v>70</v>
      </c>
      <c r="AB81" s="12"/>
    </row>
    <row r="82" spans="2:28" ht="30" x14ac:dyDescent="0.25">
      <c r="B82" s="20" t="s">
        <v>22</v>
      </c>
      <c r="C82" s="21" t="s">
        <v>23</v>
      </c>
      <c r="D82" s="21" t="s">
        <v>24</v>
      </c>
      <c r="E82" s="21" t="s">
        <v>25</v>
      </c>
      <c r="F82" s="22" t="s">
        <v>26</v>
      </c>
      <c r="G82" s="23" t="s">
        <v>27</v>
      </c>
      <c r="H82" s="24"/>
      <c r="I82" s="20" t="s">
        <v>22</v>
      </c>
      <c r="J82" s="21" t="s">
        <v>23</v>
      </c>
      <c r="K82" s="21" t="s">
        <v>24</v>
      </c>
      <c r="L82" s="21" t="s">
        <v>25</v>
      </c>
      <c r="M82" s="22" t="s">
        <v>26</v>
      </c>
      <c r="N82" s="23" t="s">
        <v>27</v>
      </c>
      <c r="P82" s="20" t="s">
        <v>22</v>
      </c>
      <c r="Q82" s="21" t="s">
        <v>23</v>
      </c>
      <c r="R82" s="21" t="s">
        <v>24</v>
      </c>
      <c r="S82" s="21" t="s">
        <v>25</v>
      </c>
      <c r="T82" s="22" t="s">
        <v>26</v>
      </c>
      <c r="U82" s="23" t="s">
        <v>27</v>
      </c>
      <c r="W82" s="25"/>
      <c r="X82" s="26" t="s">
        <v>24</v>
      </c>
      <c r="Y82" s="27" t="s">
        <v>25</v>
      </c>
      <c r="Z82" s="27" t="s">
        <v>27</v>
      </c>
      <c r="AA82" s="28" t="s">
        <v>28</v>
      </c>
    </row>
    <row r="83" spans="2:28" x14ac:dyDescent="0.25">
      <c r="B83" s="29" t="s">
        <v>29</v>
      </c>
      <c r="C83" s="122" t="s">
        <v>46</v>
      </c>
      <c r="D83" s="87">
        <v>74</v>
      </c>
      <c r="E83" s="88">
        <v>1</v>
      </c>
      <c r="F83" s="89" t="s">
        <v>71</v>
      </c>
      <c r="G83" s="120">
        <v>76</v>
      </c>
      <c r="I83" s="35" t="s">
        <v>29</v>
      </c>
      <c r="J83" s="86" t="s">
        <v>46</v>
      </c>
      <c r="K83" s="87">
        <v>1</v>
      </c>
      <c r="L83" s="91">
        <v>0</v>
      </c>
      <c r="M83" s="89"/>
      <c r="N83" s="131">
        <v>1</v>
      </c>
      <c r="P83" s="35" t="s">
        <v>29</v>
      </c>
      <c r="Q83" s="86" t="s">
        <v>46</v>
      </c>
      <c r="R83" s="87">
        <v>3</v>
      </c>
      <c r="S83" s="91">
        <v>0</v>
      </c>
      <c r="T83" s="89"/>
      <c r="U83" s="131">
        <v>3</v>
      </c>
      <c r="W83" s="38" t="s">
        <v>29</v>
      </c>
      <c r="X83" s="39">
        <v>78</v>
      </c>
      <c r="Y83" s="40">
        <v>2</v>
      </c>
      <c r="Z83" s="32">
        <f>SUM(X83,Y83)</f>
        <v>80</v>
      </c>
      <c r="AA83" s="41">
        <f>Z83/Z85*100</f>
        <v>78.431372549019613</v>
      </c>
    </row>
    <row r="84" spans="2:28" x14ac:dyDescent="0.25">
      <c r="B84" s="47"/>
      <c r="C84" s="48">
        <v>1</v>
      </c>
      <c r="D84" s="49">
        <v>0</v>
      </c>
      <c r="E84" s="132">
        <v>1</v>
      </c>
      <c r="F84" s="117" t="s">
        <v>72</v>
      </c>
      <c r="G84" s="121"/>
      <c r="I84" s="53"/>
      <c r="J84" s="54">
        <v>1</v>
      </c>
      <c r="K84" s="49">
        <v>0</v>
      </c>
      <c r="L84" s="50">
        <v>0</v>
      </c>
      <c r="M84" s="93"/>
      <c r="N84" s="133"/>
      <c r="P84" s="53"/>
      <c r="Q84" s="54">
        <v>1</v>
      </c>
      <c r="R84" s="49">
        <v>0</v>
      </c>
      <c r="S84" s="50">
        <v>0</v>
      </c>
      <c r="T84" s="93"/>
      <c r="U84" s="133"/>
      <c r="W84" s="56" t="s">
        <v>32</v>
      </c>
      <c r="X84" s="57">
        <v>3</v>
      </c>
      <c r="Y84" s="58">
        <v>19</v>
      </c>
      <c r="Z84" s="50">
        <f>SUM(X84,Y84)</f>
        <v>22</v>
      </c>
      <c r="AA84" s="59">
        <f>Z84/Z85*100</f>
        <v>21.568627450980394</v>
      </c>
    </row>
    <row r="85" spans="2:28" x14ac:dyDescent="0.25">
      <c r="B85" s="29" t="s">
        <v>32</v>
      </c>
      <c r="C85" s="30">
        <v>2</v>
      </c>
      <c r="D85" s="40">
        <v>1</v>
      </c>
      <c r="E85" s="32">
        <v>0</v>
      </c>
      <c r="F85" s="95"/>
      <c r="G85" s="120">
        <v>14</v>
      </c>
      <c r="I85" s="35" t="s">
        <v>32</v>
      </c>
      <c r="J85" s="36">
        <v>2</v>
      </c>
      <c r="K85" s="119">
        <v>0</v>
      </c>
      <c r="L85" s="32">
        <v>0</v>
      </c>
      <c r="M85" s="95"/>
      <c r="N85" s="131">
        <v>7</v>
      </c>
      <c r="P85" s="35" t="s">
        <v>32</v>
      </c>
      <c r="Q85" s="36">
        <v>2</v>
      </c>
      <c r="R85" s="119">
        <v>0</v>
      </c>
      <c r="S85" s="32">
        <v>0</v>
      </c>
      <c r="T85" s="95"/>
      <c r="U85" s="131">
        <v>1</v>
      </c>
      <c r="W85" s="56" t="s">
        <v>27</v>
      </c>
      <c r="X85" s="64">
        <f>SUM(X83,X84)</f>
        <v>81</v>
      </c>
      <c r="Y85" s="50">
        <f>SUM(Y83,Y84)</f>
        <v>21</v>
      </c>
      <c r="Z85" s="50">
        <f>SUM(X83:Y84)</f>
        <v>102</v>
      </c>
      <c r="AA85" s="59"/>
    </row>
    <row r="86" spans="2:28" ht="30" x14ac:dyDescent="0.25">
      <c r="B86" s="42"/>
      <c r="C86" s="30">
        <v>4</v>
      </c>
      <c r="D86" s="40">
        <v>1</v>
      </c>
      <c r="E86" s="31">
        <v>2</v>
      </c>
      <c r="F86" s="134" t="s">
        <v>73</v>
      </c>
      <c r="G86" s="135"/>
      <c r="I86" s="44"/>
      <c r="J86" s="36">
        <v>4</v>
      </c>
      <c r="K86" s="119">
        <v>0</v>
      </c>
      <c r="L86" s="45">
        <v>0</v>
      </c>
      <c r="M86" s="134"/>
      <c r="N86" s="136"/>
      <c r="P86" s="44"/>
      <c r="Q86" s="36">
        <v>4</v>
      </c>
      <c r="R86" s="119">
        <v>0</v>
      </c>
      <c r="S86" s="45">
        <v>0</v>
      </c>
      <c r="T86" s="134"/>
      <c r="U86" s="136"/>
      <c r="W86" s="56" t="s">
        <v>28</v>
      </c>
      <c r="X86" s="64">
        <f>X85/Z85*100</f>
        <v>79.411764705882348</v>
      </c>
      <c r="Y86" s="59">
        <f>Y85/Z85*100</f>
        <v>20.588235294117645</v>
      </c>
      <c r="Z86" s="59"/>
      <c r="AA86" s="59"/>
    </row>
    <row r="87" spans="2:28" ht="21.75" customHeight="1" x14ac:dyDescent="0.25">
      <c r="B87" s="47"/>
      <c r="C87" s="48" t="s">
        <v>33</v>
      </c>
      <c r="D87" s="132">
        <v>1</v>
      </c>
      <c r="E87" s="58">
        <v>9</v>
      </c>
      <c r="F87" s="137" t="s">
        <v>74</v>
      </c>
      <c r="G87" s="121"/>
      <c r="I87" s="53"/>
      <c r="J87" s="54" t="s">
        <v>33</v>
      </c>
      <c r="K87" s="114">
        <v>0</v>
      </c>
      <c r="L87" s="58">
        <v>7</v>
      </c>
      <c r="M87" s="137" t="s">
        <v>75</v>
      </c>
      <c r="N87" s="133"/>
      <c r="P87" s="53"/>
      <c r="Q87" s="54" t="s">
        <v>33</v>
      </c>
      <c r="R87" s="114">
        <v>0</v>
      </c>
      <c r="S87" s="58">
        <v>1</v>
      </c>
      <c r="T87" s="137" t="s">
        <v>76</v>
      </c>
      <c r="U87" s="133"/>
    </row>
    <row r="88" spans="2:28" ht="15.75" thickBot="1" x14ac:dyDescent="0.3">
      <c r="B88" s="70"/>
      <c r="C88" s="71"/>
      <c r="D88" s="72">
        <v>77</v>
      </c>
      <c r="E88" s="72">
        <v>13</v>
      </c>
      <c r="F88" s="97"/>
      <c r="G88" s="138">
        <v>90</v>
      </c>
      <c r="I88" s="75"/>
      <c r="J88" s="76"/>
      <c r="K88" s="72">
        <v>1</v>
      </c>
      <c r="L88" s="72">
        <v>7</v>
      </c>
      <c r="M88" s="97"/>
      <c r="N88" s="98">
        <v>8</v>
      </c>
      <c r="P88" s="75"/>
      <c r="Q88" s="76"/>
      <c r="R88" s="72">
        <v>3</v>
      </c>
      <c r="S88" s="72">
        <v>1</v>
      </c>
      <c r="T88" s="97"/>
      <c r="U88" s="98">
        <v>4</v>
      </c>
    </row>
    <row r="89" spans="2:28" x14ac:dyDescent="0.25">
      <c r="C89" s="78"/>
      <c r="D89" s="6"/>
      <c r="E89" s="6"/>
      <c r="F89" s="6"/>
      <c r="I89" s="6"/>
      <c r="J89" s="81"/>
      <c r="K89" s="6"/>
      <c r="L89" s="6"/>
      <c r="M89" s="6"/>
      <c r="N89" s="6"/>
      <c r="P89" s="6"/>
      <c r="Q89" s="81"/>
      <c r="R89" s="6"/>
      <c r="S89" s="6"/>
      <c r="T89" s="6"/>
      <c r="U89" s="6"/>
    </row>
    <row r="90" spans="2:28" ht="19.5" thickBot="1" x14ac:dyDescent="0.35">
      <c r="B90" s="9" t="s">
        <v>77</v>
      </c>
      <c r="C90" s="83"/>
      <c r="D90" s="16"/>
      <c r="E90" s="16"/>
      <c r="F90" s="16"/>
      <c r="G90" s="11"/>
      <c r="I90" s="139" t="s">
        <v>78</v>
      </c>
      <c r="J90" s="140"/>
      <c r="K90" s="141"/>
      <c r="L90" s="141"/>
      <c r="M90" s="141"/>
      <c r="N90" s="141"/>
      <c r="P90" s="15" t="s">
        <v>79</v>
      </c>
      <c r="Q90" s="85"/>
      <c r="R90" s="16"/>
      <c r="S90" s="16"/>
      <c r="T90" s="16"/>
      <c r="U90" s="16"/>
      <c r="W90" s="9" t="s">
        <v>80</v>
      </c>
    </row>
    <row r="91" spans="2:28" ht="30" x14ac:dyDescent="0.25">
      <c r="B91" s="20" t="s">
        <v>22</v>
      </c>
      <c r="C91" s="21" t="s">
        <v>23</v>
      </c>
      <c r="D91" s="21" t="s">
        <v>24</v>
      </c>
      <c r="E91" s="21" t="s">
        <v>25</v>
      </c>
      <c r="F91" s="22" t="s">
        <v>26</v>
      </c>
      <c r="G91" s="23" t="s">
        <v>27</v>
      </c>
      <c r="I91" s="20" t="s">
        <v>22</v>
      </c>
      <c r="J91" s="21" t="s">
        <v>23</v>
      </c>
      <c r="K91" s="21" t="s">
        <v>24</v>
      </c>
      <c r="L91" s="21" t="s">
        <v>25</v>
      </c>
      <c r="M91" s="22" t="s">
        <v>26</v>
      </c>
      <c r="N91" s="23" t="s">
        <v>27</v>
      </c>
      <c r="P91" s="20" t="s">
        <v>22</v>
      </c>
      <c r="Q91" s="21" t="s">
        <v>23</v>
      </c>
      <c r="R91" s="21" t="s">
        <v>24</v>
      </c>
      <c r="S91" s="21" t="s">
        <v>25</v>
      </c>
      <c r="T91" s="22" t="s">
        <v>26</v>
      </c>
      <c r="U91" s="23" t="s">
        <v>27</v>
      </c>
      <c r="W91" s="25"/>
      <c r="X91" s="26" t="s">
        <v>24</v>
      </c>
      <c r="Y91" s="27" t="s">
        <v>25</v>
      </c>
      <c r="Z91" s="27" t="s">
        <v>27</v>
      </c>
      <c r="AA91" s="28" t="s">
        <v>28</v>
      </c>
    </row>
    <row r="92" spans="2:28" x14ac:dyDescent="0.25">
      <c r="B92" s="29" t="s">
        <v>81</v>
      </c>
      <c r="C92" s="122" t="s">
        <v>82</v>
      </c>
      <c r="D92" s="123">
        <v>0</v>
      </c>
      <c r="E92" s="123">
        <v>0</v>
      </c>
      <c r="F92" s="142"/>
      <c r="G92" s="120">
        <v>88</v>
      </c>
      <c r="I92" s="143"/>
      <c r="J92" s="144" t="s">
        <v>82</v>
      </c>
      <c r="K92" s="145">
        <v>2</v>
      </c>
      <c r="L92" s="145"/>
      <c r="M92" s="146"/>
      <c r="N92" s="147"/>
      <c r="P92" s="29" t="s">
        <v>81</v>
      </c>
      <c r="Q92" s="86" t="s">
        <v>82</v>
      </c>
      <c r="R92" s="123">
        <v>0</v>
      </c>
      <c r="S92" s="123">
        <v>0</v>
      </c>
      <c r="T92" s="142"/>
      <c r="U92" s="131">
        <v>4</v>
      </c>
      <c r="W92" s="38" t="s">
        <v>81</v>
      </c>
      <c r="X92" s="39">
        <v>91</v>
      </c>
      <c r="Y92" s="40">
        <v>1</v>
      </c>
      <c r="Z92" s="32">
        <f>SUM(X92,Y92)</f>
        <v>92</v>
      </c>
      <c r="AA92" s="41">
        <f>Z92/Z94*100</f>
        <v>97.872340425531917</v>
      </c>
    </row>
    <row r="93" spans="2:28" x14ac:dyDescent="0.25">
      <c r="B93" s="42"/>
      <c r="C93" s="30">
        <v>2</v>
      </c>
      <c r="D93" s="31">
        <v>46</v>
      </c>
      <c r="E93" s="32">
        <v>0</v>
      </c>
      <c r="F93" s="95"/>
      <c r="G93" s="135"/>
      <c r="I93" s="148"/>
      <c r="J93" s="149">
        <v>2</v>
      </c>
      <c r="K93" s="150">
        <v>1</v>
      </c>
      <c r="L93" s="151"/>
      <c r="M93" s="152"/>
      <c r="N93" s="153"/>
      <c r="P93" s="42"/>
      <c r="Q93" s="36">
        <v>2</v>
      </c>
      <c r="R93" s="31">
        <v>3</v>
      </c>
      <c r="S93" s="32">
        <v>0</v>
      </c>
      <c r="T93" s="95"/>
      <c r="U93" s="136"/>
      <c r="W93" s="56" t="s">
        <v>83</v>
      </c>
      <c r="X93" s="57">
        <v>0</v>
      </c>
      <c r="Y93" s="58">
        <v>2</v>
      </c>
      <c r="Z93" s="50">
        <f>SUM(X93,Y93)</f>
        <v>2</v>
      </c>
      <c r="AA93" s="59">
        <f>Z93/Z94*100</f>
        <v>2.1276595744680851</v>
      </c>
    </row>
    <row r="94" spans="2:28" x14ac:dyDescent="0.25">
      <c r="B94" s="47"/>
      <c r="C94" s="48">
        <v>4</v>
      </c>
      <c r="D94" s="58">
        <v>41</v>
      </c>
      <c r="E94" s="132">
        <v>1</v>
      </c>
      <c r="F94" s="117" t="s">
        <v>84</v>
      </c>
      <c r="G94" s="121"/>
      <c r="I94" s="148"/>
      <c r="J94" s="149">
        <v>4</v>
      </c>
      <c r="K94" s="150">
        <v>1</v>
      </c>
      <c r="L94" s="151" t="s">
        <v>85</v>
      </c>
      <c r="M94" s="154"/>
      <c r="N94" s="153"/>
      <c r="P94" s="47"/>
      <c r="Q94" s="54">
        <v>4</v>
      </c>
      <c r="R94" s="58">
        <v>1</v>
      </c>
      <c r="S94" s="114">
        <v>0</v>
      </c>
      <c r="T94" s="117"/>
      <c r="U94" s="133"/>
      <c r="W94" s="56" t="s">
        <v>27</v>
      </c>
      <c r="X94" s="64">
        <f>SUM(X92,X93)</f>
        <v>91</v>
      </c>
      <c r="Y94" s="50">
        <f>SUM(Y92,Y93)</f>
        <v>3</v>
      </c>
      <c r="Z94" s="50">
        <f>SUM(X92:Y93)</f>
        <v>94</v>
      </c>
      <c r="AA94" s="59"/>
    </row>
    <row r="95" spans="2:28" x14ac:dyDescent="0.25">
      <c r="B95" s="29" t="s">
        <v>83</v>
      </c>
      <c r="C95" s="30">
        <v>8</v>
      </c>
      <c r="D95" s="32">
        <v>0</v>
      </c>
      <c r="E95" s="32">
        <v>0</v>
      </c>
      <c r="F95" s="95"/>
      <c r="G95" s="120">
        <v>2</v>
      </c>
      <c r="I95" s="148"/>
      <c r="J95" s="149">
        <v>8</v>
      </c>
      <c r="K95" s="151">
        <v>1</v>
      </c>
      <c r="L95" s="151" t="s">
        <v>85</v>
      </c>
      <c r="M95" s="152"/>
      <c r="N95" s="153"/>
      <c r="P95" s="155" t="s">
        <v>86</v>
      </c>
      <c r="Q95" s="156">
        <v>8</v>
      </c>
      <c r="R95" s="27">
        <v>0</v>
      </c>
      <c r="S95" s="27">
        <v>0</v>
      </c>
      <c r="T95" s="157"/>
      <c r="U95" s="158">
        <v>0</v>
      </c>
      <c r="W95" s="56" t="s">
        <v>28</v>
      </c>
      <c r="X95" s="64">
        <f>X94/Z94*100</f>
        <v>96.808510638297875</v>
      </c>
      <c r="Y95" s="59">
        <f>Y94/Z94*100</f>
        <v>3.1914893617021276</v>
      </c>
      <c r="Z95" s="59"/>
      <c r="AA95" s="59"/>
    </row>
    <row r="96" spans="2:28" x14ac:dyDescent="0.25">
      <c r="B96" s="47"/>
      <c r="C96" s="48" t="s">
        <v>87</v>
      </c>
      <c r="D96" s="50">
        <v>0</v>
      </c>
      <c r="E96" s="58">
        <v>2</v>
      </c>
      <c r="F96" s="159" t="s">
        <v>88</v>
      </c>
      <c r="G96" s="121"/>
      <c r="I96" s="160"/>
      <c r="J96" s="161" t="s">
        <v>87</v>
      </c>
      <c r="K96" s="162">
        <v>3</v>
      </c>
      <c r="L96" s="163" t="s">
        <v>89</v>
      </c>
      <c r="M96" s="164"/>
      <c r="N96" s="165"/>
      <c r="P96" s="62" t="s">
        <v>90</v>
      </c>
      <c r="Q96" s="54" t="s">
        <v>87</v>
      </c>
      <c r="R96" s="50">
        <v>0</v>
      </c>
      <c r="S96" s="49">
        <v>0</v>
      </c>
      <c r="T96" s="159"/>
      <c r="U96" s="166"/>
    </row>
    <row r="97" spans="2:28" ht="15.75" thickBot="1" x14ac:dyDescent="0.3">
      <c r="B97" s="70"/>
      <c r="C97" s="71"/>
      <c r="D97" s="72">
        <v>87</v>
      </c>
      <c r="E97" s="72">
        <v>3</v>
      </c>
      <c r="F97" s="97"/>
      <c r="G97" s="138">
        <v>90</v>
      </c>
      <c r="I97" s="167"/>
      <c r="J97" s="168"/>
      <c r="K97" s="169"/>
      <c r="L97" s="169"/>
      <c r="M97" s="170"/>
      <c r="N97" s="171"/>
      <c r="P97" s="75"/>
      <c r="Q97" s="76"/>
      <c r="R97" s="72">
        <v>4</v>
      </c>
      <c r="S97" s="72">
        <v>0</v>
      </c>
      <c r="T97" s="97"/>
      <c r="U97" s="98">
        <v>4</v>
      </c>
    </row>
    <row r="98" spans="2:28" x14ac:dyDescent="0.25">
      <c r="C98" s="78"/>
      <c r="J98" s="78"/>
      <c r="Q98" s="78"/>
    </row>
    <row r="99" spans="2:28" ht="19.5" thickBot="1" x14ac:dyDescent="0.35">
      <c r="B99" s="9" t="s">
        <v>91</v>
      </c>
      <c r="C99" s="83"/>
      <c r="D99" s="12"/>
      <c r="E99" s="11"/>
      <c r="F99" s="11"/>
      <c r="G99" s="11"/>
      <c r="I99" s="9" t="s">
        <v>91</v>
      </c>
      <c r="J99" s="83"/>
      <c r="K99" s="12"/>
      <c r="L99" s="11"/>
      <c r="M99" s="11"/>
      <c r="N99" s="11"/>
      <c r="O99" s="11"/>
      <c r="P99" s="9" t="s">
        <v>91</v>
      </c>
      <c r="Q99" s="83"/>
      <c r="R99" s="12"/>
      <c r="S99" s="11"/>
      <c r="T99" s="11"/>
      <c r="U99" s="11"/>
      <c r="W99" s="9" t="s">
        <v>92</v>
      </c>
      <c r="AB99" s="12"/>
    </row>
    <row r="100" spans="2:28" ht="30" x14ac:dyDescent="0.25">
      <c r="B100" s="20" t="s">
        <v>22</v>
      </c>
      <c r="C100" s="21" t="s">
        <v>23</v>
      </c>
      <c r="D100" s="21" t="s">
        <v>24</v>
      </c>
      <c r="E100" s="21" t="s">
        <v>25</v>
      </c>
      <c r="F100" s="22" t="s">
        <v>26</v>
      </c>
      <c r="G100" s="23" t="s">
        <v>27</v>
      </c>
      <c r="I100" s="20" t="s">
        <v>22</v>
      </c>
      <c r="J100" s="21" t="s">
        <v>23</v>
      </c>
      <c r="K100" s="21" t="s">
        <v>24</v>
      </c>
      <c r="L100" s="21" t="s">
        <v>25</v>
      </c>
      <c r="M100" s="22" t="s">
        <v>26</v>
      </c>
      <c r="N100" s="23" t="s">
        <v>27</v>
      </c>
      <c r="O100" s="24"/>
      <c r="P100" s="20" t="s">
        <v>22</v>
      </c>
      <c r="Q100" s="21" t="s">
        <v>23</v>
      </c>
      <c r="R100" s="21" t="s">
        <v>24</v>
      </c>
      <c r="S100" s="21" t="s">
        <v>25</v>
      </c>
      <c r="T100" s="22" t="s">
        <v>26</v>
      </c>
      <c r="U100" s="23" t="s">
        <v>27</v>
      </c>
      <c r="W100" s="25"/>
      <c r="X100" s="26" t="s">
        <v>24</v>
      </c>
      <c r="Y100" s="27" t="s">
        <v>25</v>
      </c>
      <c r="Z100" s="27" t="s">
        <v>27</v>
      </c>
      <c r="AA100" s="28" t="s">
        <v>28</v>
      </c>
    </row>
    <row r="101" spans="2:28" x14ac:dyDescent="0.25">
      <c r="B101" s="29" t="s">
        <v>29</v>
      </c>
      <c r="C101" s="30" t="s">
        <v>93</v>
      </c>
      <c r="D101" s="31">
        <v>58</v>
      </c>
      <c r="E101" s="41">
        <v>0</v>
      </c>
      <c r="G101" s="109">
        <v>90</v>
      </c>
      <c r="I101" s="29" t="s">
        <v>29</v>
      </c>
      <c r="J101" s="30" t="s">
        <v>93</v>
      </c>
      <c r="K101" s="31">
        <v>7</v>
      </c>
      <c r="L101" s="41">
        <v>0</v>
      </c>
      <c r="N101" s="109">
        <v>7</v>
      </c>
      <c r="P101" s="29" t="s">
        <v>29</v>
      </c>
      <c r="Q101" s="30" t="s">
        <v>93</v>
      </c>
      <c r="R101" s="31">
        <v>5</v>
      </c>
      <c r="S101" s="41">
        <v>0</v>
      </c>
      <c r="U101" s="109">
        <v>5</v>
      </c>
      <c r="W101" s="38" t="s">
        <v>29</v>
      </c>
      <c r="X101" s="39">
        <v>102</v>
      </c>
      <c r="Y101" s="40">
        <v>0</v>
      </c>
      <c r="Z101" s="32">
        <f>SUM(X101,Y101)</f>
        <v>102</v>
      </c>
      <c r="AA101" s="41">
        <f>Z101/Z103*100</f>
        <v>99.029126213592235</v>
      </c>
    </row>
    <row r="102" spans="2:28" x14ac:dyDescent="0.25">
      <c r="B102" s="47"/>
      <c r="C102" s="48">
        <v>4</v>
      </c>
      <c r="D102" s="58">
        <v>32</v>
      </c>
      <c r="E102" s="59">
        <v>0</v>
      </c>
      <c r="F102" s="64"/>
      <c r="G102" s="115"/>
      <c r="I102" s="47"/>
      <c r="J102" s="48">
        <v>4</v>
      </c>
      <c r="K102" s="59">
        <v>0</v>
      </c>
      <c r="L102" s="59">
        <v>0</v>
      </c>
      <c r="M102" s="64"/>
      <c r="N102" s="115"/>
      <c r="P102" s="47"/>
      <c r="Q102" s="48">
        <v>4</v>
      </c>
      <c r="R102" s="59">
        <v>0</v>
      </c>
      <c r="S102" s="59">
        <v>0</v>
      </c>
      <c r="T102" s="64"/>
      <c r="U102" s="115"/>
      <c r="W102" s="56" t="s">
        <v>32</v>
      </c>
      <c r="X102" s="57">
        <v>1</v>
      </c>
      <c r="Y102" s="58">
        <v>0</v>
      </c>
      <c r="Z102" s="50">
        <f>SUM(X102,Y102)</f>
        <v>1</v>
      </c>
      <c r="AA102" s="59">
        <f>Z102/Z103*100</f>
        <v>0.97087378640776689</v>
      </c>
    </row>
    <row r="103" spans="2:28" x14ac:dyDescent="0.25">
      <c r="B103" s="29" t="s">
        <v>32</v>
      </c>
      <c r="C103" s="30">
        <v>8</v>
      </c>
      <c r="D103" s="41">
        <v>0</v>
      </c>
      <c r="E103" s="41">
        <v>0</v>
      </c>
      <c r="G103" s="109">
        <v>0</v>
      </c>
      <c r="I103" s="29" t="s">
        <v>32</v>
      </c>
      <c r="J103" s="30">
        <v>8</v>
      </c>
      <c r="K103" s="41">
        <v>0</v>
      </c>
      <c r="L103" s="41">
        <v>0</v>
      </c>
      <c r="N103" s="109">
        <v>1</v>
      </c>
      <c r="P103" s="29" t="s">
        <v>32</v>
      </c>
      <c r="Q103" s="30">
        <v>8</v>
      </c>
      <c r="R103" s="41">
        <v>0</v>
      </c>
      <c r="S103" s="41">
        <v>0</v>
      </c>
      <c r="U103" s="109">
        <v>0</v>
      </c>
      <c r="W103" s="56" t="s">
        <v>27</v>
      </c>
      <c r="X103" s="64">
        <f>SUM(X101,X102)</f>
        <v>103</v>
      </c>
      <c r="Y103" s="50">
        <f>SUM(Y101,Y102)</f>
        <v>0</v>
      </c>
      <c r="Z103" s="50">
        <f>SUM(X101:Y102)</f>
        <v>103</v>
      </c>
      <c r="AA103" s="59"/>
    </row>
    <row r="104" spans="2:28" x14ac:dyDescent="0.25">
      <c r="B104" s="42"/>
      <c r="C104" s="30">
        <v>16</v>
      </c>
      <c r="D104" s="41">
        <v>0</v>
      </c>
      <c r="E104" s="41">
        <v>0</v>
      </c>
      <c r="G104" s="172"/>
      <c r="I104" s="42"/>
      <c r="J104" s="30">
        <v>16</v>
      </c>
      <c r="K104" s="41">
        <v>0</v>
      </c>
      <c r="L104" s="41">
        <v>0</v>
      </c>
      <c r="N104" s="172"/>
      <c r="P104" s="42"/>
      <c r="Q104" s="30">
        <v>16</v>
      </c>
      <c r="R104" s="41">
        <v>0</v>
      </c>
      <c r="S104" s="41">
        <v>0</v>
      </c>
      <c r="U104" s="172"/>
      <c r="W104" s="56" t="s">
        <v>28</v>
      </c>
      <c r="X104" s="64">
        <f>X103/Z103*100</f>
        <v>100</v>
      </c>
      <c r="Y104" s="59">
        <f>Y103/Z103*100</f>
        <v>0</v>
      </c>
      <c r="Z104" s="59"/>
      <c r="AA104" s="59"/>
    </row>
    <row r="105" spans="2:28" x14ac:dyDescent="0.25">
      <c r="B105" s="47"/>
      <c r="C105" s="48" t="s">
        <v>94</v>
      </c>
      <c r="D105" s="114">
        <v>0</v>
      </c>
      <c r="E105" s="59">
        <v>0</v>
      </c>
      <c r="F105" s="64"/>
      <c r="G105" s="115"/>
      <c r="I105" s="47"/>
      <c r="J105" s="48" t="s">
        <v>94</v>
      </c>
      <c r="K105" s="132">
        <v>1</v>
      </c>
      <c r="L105" s="59">
        <v>0</v>
      </c>
      <c r="M105" s="64"/>
      <c r="N105" s="115"/>
      <c r="P105" s="47"/>
      <c r="Q105" s="48" t="s">
        <v>94</v>
      </c>
      <c r="R105" s="114">
        <v>0</v>
      </c>
      <c r="S105" s="59">
        <v>0</v>
      </c>
      <c r="T105" s="64"/>
      <c r="U105" s="115"/>
    </row>
    <row r="106" spans="2:28" ht="15.75" thickBot="1" x14ac:dyDescent="0.3">
      <c r="B106" s="70"/>
      <c r="C106" s="71"/>
      <c r="D106" s="173">
        <v>90</v>
      </c>
      <c r="E106" s="173">
        <v>0</v>
      </c>
      <c r="F106" s="174"/>
      <c r="G106" s="138">
        <v>90</v>
      </c>
      <c r="I106" s="70"/>
      <c r="J106" s="71"/>
      <c r="K106" s="173">
        <v>8</v>
      </c>
      <c r="L106" s="173">
        <v>0</v>
      </c>
      <c r="M106" s="174"/>
      <c r="N106" s="138">
        <v>8</v>
      </c>
      <c r="P106" s="70"/>
      <c r="Q106" s="71"/>
      <c r="R106" s="173">
        <v>5</v>
      </c>
      <c r="S106" s="173">
        <v>0</v>
      </c>
      <c r="T106" s="174"/>
      <c r="U106" s="138">
        <v>5</v>
      </c>
    </row>
    <row r="107" spans="2:28" x14ac:dyDescent="0.25">
      <c r="C107" s="78"/>
      <c r="J107" s="78"/>
      <c r="Q107" s="78"/>
    </row>
    <row r="108" spans="2:28" ht="19.5" thickBot="1" x14ac:dyDescent="0.35">
      <c r="B108" s="9" t="s">
        <v>95</v>
      </c>
      <c r="C108" s="83"/>
      <c r="D108" s="12"/>
      <c r="E108" s="11"/>
      <c r="F108" s="11"/>
      <c r="G108" s="11"/>
      <c r="I108" s="9" t="s">
        <v>96</v>
      </c>
      <c r="J108" s="83"/>
      <c r="K108" s="12"/>
      <c r="L108" s="11"/>
      <c r="M108" s="11"/>
      <c r="N108" s="11"/>
      <c r="P108" s="9" t="s">
        <v>96</v>
      </c>
      <c r="Q108" s="83"/>
      <c r="R108" s="12"/>
      <c r="S108" s="11"/>
      <c r="T108" s="11"/>
      <c r="U108" s="11"/>
      <c r="W108" s="9" t="s">
        <v>97</v>
      </c>
      <c r="AB108" s="12"/>
    </row>
    <row r="109" spans="2:28" ht="30" x14ac:dyDescent="0.25">
      <c r="B109" s="20" t="s">
        <v>22</v>
      </c>
      <c r="C109" s="21" t="s">
        <v>23</v>
      </c>
      <c r="D109" s="21" t="s">
        <v>24</v>
      </c>
      <c r="E109" s="21" t="s">
        <v>25</v>
      </c>
      <c r="F109" s="22" t="s">
        <v>26</v>
      </c>
      <c r="G109" s="23" t="s">
        <v>27</v>
      </c>
      <c r="I109" s="20" t="s">
        <v>22</v>
      </c>
      <c r="J109" s="21" t="s">
        <v>23</v>
      </c>
      <c r="K109" s="21" t="s">
        <v>24</v>
      </c>
      <c r="L109" s="21" t="s">
        <v>25</v>
      </c>
      <c r="M109" s="22" t="s">
        <v>26</v>
      </c>
      <c r="N109" s="23" t="s">
        <v>27</v>
      </c>
      <c r="P109" s="20" t="s">
        <v>22</v>
      </c>
      <c r="Q109" s="21" t="s">
        <v>23</v>
      </c>
      <c r="R109" s="21"/>
      <c r="S109" s="21"/>
      <c r="T109" s="22"/>
      <c r="U109" s="175"/>
      <c r="W109" s="25"/>
      <c r="X109" s="26" t="s">
        <v>24</v>
      </c>
      <c r="Y109" s="27" t="s">
        <v>25</v>
      </c>
      <c r="Z109" s="27" t="s">
        <v>27</v>
      </c>
      <c r="AA109" s="28" t="s">
        <v>28</v>
      </c>
    </row>
    <row r="110" spans="2:28" x14ac:dyDescent="0.25">
      <c r="B110" s="29" t="s">
        <v>29</v>
      </c>
      <c r="C110" s="30" t="s">
        <v>82</v>
      </c>
      <c r="D110" s="31">
        <v>90</v>
      </c>
      <c r="E110" s="32">
        <v>0</v>
      </c>
      <c r="F110" s="6"/>
      <c r="G110" s="90">
        <v>90</v>
      </c>
      <c r="I110" s="29" t="s">
        <v>29</v>
      </c>
      <c r="J110" s="30" t="s">
        <v>82</v>
      </c>
      <c r="K110" s="31">
        <v>1</v>
      </c>
      <c r="L110" s="41">
        <v>0</v>
      </c>
      <c r="N110" s="109">
        <v>7</v>
      </c>
      <c r="P110" s="29" t="s">
        <v>29</v>
      </c>
      <c r="Q110" s="30" t="s">
        <v>82</v>
      </c>
      <c r="R110" s="31">
        <v>5</v>
      </c>
      <c r="S110" s="41">
        <v>0</v>
      </c>
      <c r="U110" s="109">
        <v>5</v>
      </c>
      <c r="W110" s="38" t="s">
        <v>29</v>
      </c>
      <c r="X110" s="39">
        <v>102</v>
      </c>
      <c r="Y110" s="40">
        <v>0</v>
      </c>
      <c r="Z110" s="32">
        <f>SUM(X110,Y110)</f>
        <v>102</v>
      </c>
      <c r="AA110" s="41">
        <f>Z110/Z112*100</f>
        <v>99.029126213592235</v>
      </c>
    </row>
    <row r="111" spans="2:28" x14ac:dyDescent="0.25">
      <c r="B111" s="47"/>
      <c r="C111" s="48">
        <v>2</v>
      </c>
      <c r="D111" s="49">
        <v>0</v>
      </c>
      <c r="E111" s="50">
        <v>0</v>
      </c>
      <c r="F111" s="127"/>
      <c r="G111" s="94"/>
      <c r="I111" s="42"/>
      <c r="J111" s="30">
        <v>2</v>
      </c>
      <c r="K111" s="31">
        <v>3</v>
      </c>
      <c r="L111" s="41">
        <v>0</v>
      </c>
      <c r="N111" s="172"/>
      <c r="P111" s="42"/>
      <c r="Q111" s="30">
        <v>2</v>
      </c>
      <c r="R111" s="45">
        <v>0</v>
      </c>
      <c r="S111" s="41">
        <v>0</v>
      </c>
      <c r="U111" s="172"/>
      <c r="W111" s="56" t="s">
        <v>32</v>
      </c>
      <c r="X111" s="57">
        <v>1</v>
      </c>
      <c r="Y111" s="58">
        <v>0</v>
      </c>
      <c r="Z111" s="50">
        <f>SUM(X111,Y111)</f>
        <v>1</v>
      </c>
      <c r="AA111" s="59">
        <f>Z111/Z112*100</f>
        <v>0.97087378640776689</v>
      </c>
    </row>
    <row r="112" spans="2:28" x14ac:dyDescent="0.25">
      <c r="B112" s="29" t="s">
        <v>32</v>
      </c>
      <c r="C112" s="30">
        <v>4</v>
      </c>
      <c r="D112" s="32">
        <v>0</v>
      </c>
      <c r="E112" s="32">
        <v>0</v>
      </c>
      <c r="F112" s="6"/>
      <c r="G112" s="90">
        <v>0</v>
      </c>
      <c r="I112" s="47"/>
      <c r="J112" s="48">
        <v>4</v>
      </c>
      <c r="K112" s="58">
        <v>3</v>
      </c>
      <c r="L112" s="59">
        <v>0</v>
      </c>
      <c r="M112" s="64"/>
      <c r="N112" s="115"/>
      <c r="P112" s="47"/>
      <c r="Q112" s="48">
        <v>4</v>
      </c>
      <c r="R112" s="49">
        <v>0</v>
      </c>
      <c r="S112" s="59">
        <v>0</v>
      </c>
      <c r="T112" s="64"/>
      <c r="U112" s="115"/>
      <c r="W112" s="56" t="s">
        <v>27</v>
      </c>
      <c r="X112" s="64">
        <f>SUM(X110,X111)</f>
        <v>103</v>
      </c>
      <c r="Y112" s="50">
        <f>SUM(Y110,Y111)</f>
        <v>0</v>
      </c>
      <c r="Z112" s="50">
        <f>SUM(X110:Y111)</f>
        <v>103</v>
      </c>
      <c r="AA112" s="59"/>
    </row>
    <row r="113" spans="2:28" x14ac:dyDescent="0.25">
      <c r="B113" s="42"/>
      <c r="C113" s="30">
        <v>8</v>
      </c>
      <c r="D113" s="32">
        <v>0</v>
      </c>
      <c r="E113" s="32">
        <v>0</v>
      </c>
      <c r="F113" s="6"/>
      <c r="G113" s="96"/>
      <c r="I113" s="29" t="s">
        <v>32</v>
      </c>
      <c r="J113" s="30">
        <v>8</v>
      </c>
      <c r="K113" s="41">
        <v>0</v>
      </c>
      <c r="L113" s="41">
        <v>0</v>
      </c>
      <c r="N113" s="109">
        <v>1</v>
      </c>
      <c r="P113" s="29" t="s">
        <v>32</v>
      </c>
      <c r="Q113" s="30">
        <v>8</v>
      </c>
      <c r="R113" s="41">
        <v>0</v>
      </c>
      <c r="S113" s="41">
        <v>0</v>
      </c>
      <c r="U113" s="109">
        <v>0</v>
      </c>
      <c r="W113" s="56" t="s">
        <v>28</v>
      </c>
      <c r="X113" s="64">
        <f>X112/Z112*100</f>
        <v>100</v>
      </c>
      <c r="Y113" s="59">
        <f>Y112/Z112*100</f>
        <v>0</v>
      </c>
      <c r="Z113" s="59"/>
      <c r="AA113" s="59"/>
    </row>
    <row r="114" spans="2:28" x14ac:dyDescent="0.25">
      <c r="B114" s="42"/>
      <c r="C114" s="30">
        <v>16</v>
      </c>
      <c r="D114" s="32">
        <v>0</v>
      </c>
      <c r="E114" s="32">
        <v>0</v>
      </c>
      <c r="F114" s="6"/>
      <c r="G114" s="96"/>
      <c r="I114" s="42"/>
      <c r="J114" s="30">
        <v>16</v>
      </c>
      <c r="K114" s="41">
        <v>0</v>
      </c>
      <c r="L114" s="41">
        <v>0</v>
      </c>
      <c r="N114" s="172"/>
      <c r="P114" s="42"/>
      <c r="Q114" s="30">
        <v>16</v>
      </c>
      <c r="R114" s="41">
        <v>0</v>
      </c>
      <c r="S114" s="41">
        <v>0</v>
      </c>
      <c r="U114" s="172"/>
    </row>
    <row r="115" spans="2:28" x14ac:dyDescent="0.25">
      <c r="B115" s="47"/>
      <c r="C115" s="48" t="s">
        <v>94</v>
      </c>
      <c r="D115" s="114">
        <v>0</v>
      </c>
      <c r="E115" s="50">
        <v>0</v>
      </c>
      <c r="F115" s="127"/>
      <c r="G115" s="94"/>
      <c r="I115" s="47"/>
      <c r="J115" s="48" t="s">
        <v>94</v>
      </c>
      <c r="K115" s="132">
        <v>1</v>
      </c>
      <c r="L115" s="59">
        <v>0</v>
      </c>
      <c r="M115" s="64"/>
      <c r="N115" s="115"/>
      <c r="P115" s="47"/>
      <c r="Q115" s="48" t="s">
        <v>94</v>
      </c>
      <c r="R115" s="114">
        <v>0</v>
      </c>
      <c r="S115" s="59">
        <v>0</v>
      </c>
      <c r="T115" s="64"/>
      <c r="U115" s="115"/>
    </row>
    <row r="116" spans="2:28" ht="15.75" thickBot="1" x14ac:dyDescent="0.3">
      <c r="B116" s="70"/>
      <c r="C116" s="71"/>
      <c r="D116" s="72">
        <v>90</v>
      </c>
      <c r="E116" s="72">
        <v>0</v>
      </c>
      <c r="F116" s="97"/>
      <c r="G116" s="98">
        <v>90</v>
      </c>
      <c r="I116" s="70"/>
      <c r="J116" s="71"/>
      <c r="K116" s="173">
        <v>8</v>
      </c>
      <c r="L116" s="173">
        <v>0</v>
      </c>
      <c r="M116" s="174"/>
      <c r="N116" s="138">
        <v>8</v>
      </c>
      <c r="P116" s="70"/>
      <c r="Q116" s="71"/>
      <c r="R116" s="173">
        <v>5</v>
      </c>
      <c r="S116" s="173">
        <v>0</v>
      </c>
      <c r="T116" s="174"/>
      <c r="U116" s="138">
        <v>5</v>
      </c>
    </row>
    <row r="117" spans="2:28" x14ac:dyDescent="0.25">
      <c r="C117" s="78"/>
      <c r="J117" s="78"/>
      <c r="Q117" s="78"/>
    </row>
    <row r="118" spans="2:28" ht="19.5" thickBot="1" x14ac:dyDescent="0.35">
      <c r="B118" s="9" t="s">
        <v>98</v>
      </c>
      <c r="C118" s="83"/>
      <c r="D118" s="12"/>
      <c r="E118" s="16"/>
      <c r="F118" s="16"/>
      <c r="G118" s="16"/>
      <c r="I118" s="9" t="s">
        <v>99</v>
      </c>
      <c r="J118" s="83"/>
      <c r="K118" s="12"/>
      <c r="L118" s="16"/>
      <c r="M118" s="16"/>
      <c r="N118" s="16"/>
      <c r="P118" s="9" t="s">
        <v>99</v>
      </c>
      <c r="Q118" s="83"/>
      <c r="R118" s="12"/>
      <c r="S118" s="16"/>
      <c r="T118" s="16"/>
      <c r="U118" s="16"/>
      <c r="W118" s="9" t="s">
        <v>100</v>
      </c>
      <c r="AB118" s="12"/>
    </row>
    <row r="119" spans="2:28" ht="30" x14ac:dyDescent="0.25">
      <c r="B119" s="20" t="s">
        <v>22</v>
      </c>
      <c r="C119" s="21" t="s">
        <v>23</v>
      </c>
      <c r="D119" s="21" t="s">
        <v>24</v>
      </c>
      <c r="E119" s="21" t="s">
        <v>25</v>
      </c>
      <c r="F119" s="22" t="s">
        <v>26</v>
      </c>
      <c r="G119" s="23" t="s">
        <v>27</v>
      </c>
      <c r="I119" s="20" t="s">
        <v>22</v>
      </c>
      <c r="J119" s="21" t="s">
        <v>23</v>
      </c>
      <c r="K119" s="21" t="s">
        <v>24</v>
      </c>
      <c r="L119" s="21" t="s">
        <v>25</v>
      </c>
      <c r="M119" s="22" t="s">
        <v>26</v>
      </c>
      <c r="N119" s="23" t="s">
        <v>27</v>
      </c>
      <c r="P119" s="20" t="s">
        <v>22</v>
      </c>
      <c r="Q119" s="21" t="s">
        <v>23</v>
      </c>
      <c r="R119" s="21" t="s">
        <v>24</v>
      </c>
      <c r="S119" s="21" t="s">
        <v>25</v>
      </c>
      <c r="T119" s="22" t="s">
        <v>26</v>
      </c>
      <c r="U119" s="23" t="s">
        <v>27</v>
      </c>
      <c r="W119" s="25"/>
      <c r="X119" s="26" t="s">
        <v>24</v>
      </c>
      <c r="Y119" s="27" t="s">
        <v>25</v>
      </c>
      <c r="Z119" s="27" t="s">
        <v>27</v>
      </c>
      <c r="AA119" s="28" t="s">
        <v>28</v>
      </c>
    </row>
    <row r="120" spans="2:28" x14ac:dyDescent="0.25">
      <c r="B120" s="29" t="s">
        <v>29</v>
      </c>
      <c r="C120" s="122" t="s">
        <v>30</v>
      </c>
      <c r="D120" s="45">
        <v>0</v>
      </c>
      <c r="E120" s="32">
        <v>0</v>
      </c>
      <c r="F120" s="6"/>
      <c r="G120" s="90">
        <v>90</v>
      </c>
      <c r="I120" s="29" t="s">
        <v>29</v>
      </c>
      <c r="J120" s="122" t="s">
        <v>30</v>
      </c>
      <c r="K120" s="45">
        <v>0</v>
      </c>
      <c r="L120" s="32">
        <v>0</v>
      </c>
      <c r="M120" s="6"/>
      <c r="N120" s="90">
        <v>8</v>
      </c>
      <c r="P120" s="29" t="s">
        <v>29</v>
      </c>
      <c r="Q120" s="122" t="s">
        <v>30</v>
      </c>
      <c r="R120" s="45">
        <v>0</v>
      </c>
      <c r="S120" s="32">
        <v>0</v>
      </c>
      <c r="T120" s="6"/>
      <c r="U120" s="90">
        <v>5</v>
      </c>
      <c r="W120" s="38" t="s">
        <v>29</v>
      </c>
      <c r="X120" s="39">
        <v>103</v>
      </c>
      <c r="Y120" s="40">
        <v>0</v>
      </c>
      <c r="Z120" s="32">
        <f>SUM(X120,Y120)</f>
        <v>103</v>
      </c>
      <c r="AA120" s="41">
        <f>Z120/Z122*100</f>
        <v>100</v>
      </c>
    </row>
    <row r="121" spans="2:28" x14ac:dyDescent="0.25">
      <c r="B121" s="42"/>
      <c r="C121" s="176">
        <v>0.5</v>
      </c>
      <c r="D121" s="31">
        <v>1</v>
      </c>
      <c r="E121" s="32">
        <v>0</v>
      </c>
      <c r="F121" s="6"/>
      <c r="G121" s="96"/>
      <c r="I121" s="42"/>
      <c r="J121" s="176">
        <v>0.5</v>
      </c>
      <c r="K121" s="45">
        <v>0</v>
      </c>
      <c r="L121" s="32">
        <v>0</v>
      </c>
      <c r="M121" s="6"/>
      <c r="N121" s="96"/>
      <c r="P121" s="42"/>
      <c r="Q121" s="176">
        <v>0.5</v>
      </c>
      <c r="R121" s="45">
        <v>0</v>
      </c>
      <c r="S121" s="32">
        <v>0</v>
      </c>
      <c r="T121" s="6"/>
      <c r="U121" s="96"/>
      <c r="W121" s="56" t="s">
        <v>32</v>
      </c>
      <c r="X121" s="57">
        <v>0</v>
      </c>
      <c r="Y121" s="58">
        <v>0</v>
      </c>
      <c r="Z121" s="50">
        <f>SUM(X121,Y121)</f>
        <v>0</v>
      </c>
      <c r="AA121" s="59">
        <f>Z121/Z122*100</f>
        <v>0</v>
      </c>
    </row>
    <row r="122" spans="2:28" x14ac:dyDescent="0.25">
      <c r="B122" s="42"/>
      <c r="C122" s="176">
        <v>1</v>
      </c>
      <c r="D122" s="31">
        <v>88</v>
      </c>
      <c r="E122" s="32">
        <v>0</v>
      </c>
      <c r="F122" s="6"/>
      <c r="G122" s="96"/>
      <c r="I122" s="42"/>
      <c r="J122" s="176">
        <v>1</v>
      </c>
      <c r="K122" s="45">
        <v>0</v>
      </c>
      <c r="L122" s="32">
        <v>0</v>
      </c>
      <c r="M122" s="6"/>
      <c r="N122" s="96"/>
      <c r="P122" s="42"/>
      <c r="Q122" s="176">
        <v>1</v>
      </c>
      <c r="R122" s="31">
        <v>5</v>
      </c>
      <c r="S122" s="32">
        <v>0</v>
      </c>
      <c r="T122" s="6"/>
      <c r="U122" s="96"/>
      <c r="W122" s="56" t="s">
        <v>27</v>
      </c>
      <c r="X122" s="64">
        <f>SUM(X120,X121)</f>
        <v>103</v>
      </c>
      <c r="Y122" s="50">
        <f>SUM(Y120,Y121)</f>
        <v>0</v>
      </c>
      <c r="Z122" s="50">
        <f>SUM(X120:Y121)</f>
        <v>103</v>
      </c>
      <c r="AA122" s="59"/>
    </row>
    <row r="123" spans="2:28" ht="17.25" customHeight="1" x14ac:dyDescent="0.25">
      <c r="B123" s="47"/>
      <c r="C123" s="48">
        <v>2</v>
      </c>
      <c r="D123" s="58">
        <v>1</v>
      </c>
      <c r="E123" s="50">
        <v>0</v>
      </c>
      <c r="F123" s="127"/>
      <c r="G123" s="94"/>
      <c r="I123" s="42"/>
      <c r="J123" s="176">
        <v>2</v>
      </c>
      <c r="K123" s="31">
        <v>8</v>
      </c>
      <c r="L123" s="32">
        <v>0</v>
      </c>
      <c r="M123" s="6"/>
      <c r="N123" s="96"/>
      <c r="P123" s="42"/>
      <c r="Q123" s="176">
        <v>2</v>
      </c>
      <c r="R123" s="45">
        <v>0</v>
      </c>
      <c r="S123" s="32">
        <v>0</v>
      </c>
      <c r="T123" s="6"/>
      <c r="U123" s="96"/>
      <c r="W123" s="56" t="s">
        <v>28</v>
      </c>
      <c r="X123" s="64">
        <f>X122/Z122*100</f>
        <v>100</v>
      </c>
      <c r="Y123" s="59">
        <f>Y122/Z122*100</f>
        <v>0</v>
      </c>
      <c r="Z123" s="59"/>
      <c r="AA123" s="59"/>
    </row>
    <row r="124" spans="2:28" x14ac:dyDescent="0.25">
      <c r="B124" s="29" t="s">
        <v>32</v>
      </c>
      <c r="C124" s="30">
        <v>4</v>
      </c>
      <c r="D124" s="119">
        <v>0</v>
      </c>
      <c r="E124" s="45">
        <v>0</v>
      </c>
      <c r="F124" s="128"/>
      <c r="G124" s="90">
        <v>0</v>
      </c>
      <c r="I124" s="47"/>
      <c r="J124" s="48">
        <v>4</v>
      </c>
      <c r="K124" s="49">
        <v>0</v>
      </c>
      <c r="L124" s="50">
        <v>0</v>
      </c>
      <c r="M124" s="127"/>
      <c r="N124" s="94"/>
      <c r="P124" s="47"/>
      <c r="Q124" s="48">
        <v>4</v>
      </c>
      <c r="R124" s="49">
        <v>0</v>
      </c>
      <c r="S124" s="50">
        <v>0</v>
      </c>
      <c r="T124" s="127"/>
      <c r="U124" s="94"/>
    </row>
    <row r="125" spans="2:28" x14ac:dyDescent="0.25">
      <c r="B125" s="42"/>
      <c r="C125" s="30">
        <v>8</v>
      </c>
      <c r="D125" s="119">
        <v>0</v>
      </c>
      <c r="E125" s="45">
        <v>0</v>
      </c>
      <c r="F125" s="128"/>
      <c r="G125" s="96"/>
      <c r="I125" s="29" t="s">
        <v>32</v>
      </c>
      <c r="J125" s="30">
        <v>8</v>
      </c>
      <c r="K125" s="119">
        <v>0</v>
      </c>
      <c r="L125" s="45">
        <v>0</v>
      </c>
      <c r="M125" s="128"/>
      <c r="N125" s="90">
        <v>0</v>
      </c>
      <c r="P125" s="29" t="s">
        <v>32</v>
      </c>
      <c r="Q125" s="30">
        <v>8</v>
      </c>
      <c r="R125" s="119">
        <v>0</v>
      </c>
      <c r="S125" s="45">
        <v>0</v>
      </c>
      <c r="T125" s="128"/>
      <c r="U125" s="90">
        <v>0</v>
      </c>
    </row>
    <row r="126" spans="2:28" x14ac:dyDescent="0.25">
      <c r="B126" s="42"/>
      <c r="C126" s="30">
        <v>16</v>
      </c>
      <c r="D126" s="119">
        <v>0</v>
      </c>
      <c r="E126" s="45">
        <v>0</v>
      </c>
      <c r="F126" s="128"/>
      <c r="G126" s="96"/>
      <c r="I126" s="42"/>
      <c r="J126" s="30">
        <v>16</v>
      </c>
      <c r="K126" s="119">
        <v>0</v>
      </c>
      <c r="L126" s="45">
        <v>0</v>
      </c>
      <c r="M126" s="128"/>
      <c r="N126" s="96"/>
      <c r="P126" s="42"/>
      <c r="Q126" s="30">
        <v>16</v>
      </c>
      <c r="R126" s="119">
        <v>0</v>
      </c>
      <c r="S126" s="45">
        <v>0</v>
      </c>
      <c r="T126" s="128"/>
      <c r="U126" s="96"/>
    </row>
    <row r="127" spans="2:28" x14ac:dyDescent="0.25">
      <c r="B127" s="42"/>
      <c r="C127" s="30">
        <v>32</v>
      </c>
      <c r="D127" s="119">
        <v>0</v>
      </c>
      <c r="E127" s="45">
        <v>0</v>
      </c>
      <c r="F127" s="128"/>
      <c r="G127" s="96"/>
      <c r="I127" s="42"/>
      <c r="J127" s="30">
        <v>32</v>
      </c>
      <c r="K127" s="119">
        <v>0</v>
      </c>
      <c r="L127" s="45">
        <v>0</v>
      </c>
      <c r="M127" s="128"/>
      <c r="N127" s="96"/>
      <c r="P127" s="42"/>
      <c r="Q127" s="30">
        <v>32</v>
      </c>
      <c r="R127" s="119">
        <v>0</v>
      </c>
      <c r="S127" s="45">
        <v>0</v>
      </c>
      <c r="T127" s="128"/>
      <c r="U127" s="96"/>
    </row>
    <row r="128" spans="2:28" x14ac:dyDescent="0.25">
      <c r="B128" s="47"/>
      <c r="C128" s="48" t="s">
        <v>101</v>
      </c>
      <c r="D128" s="114">
        <v>0</v>
      </c>
      <c r="E128" s="50">
        <v>0</v>
      </c>
      <c r="F128" s="127"/>
      <c r="G128" s="94"/>
      <c r="I128" s="47"/>
      <c r="J128" s="48" t="s">
        <v>101</v>
      </c>
      <c r="K128" s="114">
        <v>0</v>
      </c>
      <c r="L128" s="50">
        <v>0</v>
      </c>
      <c r="M128" s="127"/>
      <c r="N128" s="94"/>
      <c r="P128" s="47"/>
      <c r="Q128" s="48" t="s">
        <v>101</v>
      </c>
      <c r="R128" s="114">
        <v>0</v>
      </c>
      <c r="S128" s="50">
        <v>0</v>
      </c>
      <c r="T128" s="127"/>
      <c r="U128" s="94"/>
    </row>
    <row r="129" spans="2:27" ht="15.75" thickBot="1" x14ac:dyDescent="0.3">
      <c r="B129" s="70"/>
      <c r="C129" s="71"/>
      <c r="D129" s="72">
        <v>90</v>
      </c>
      <c r="E129" s="72">
        <v>0</v>
      </c>
      <c r="F129" s="97"/>
      <c r="G129" s="98">
        <v>90</v>
      </c>
      <c r="I129" s="70"/>
      <c r="J129" s="71"/>
      <c r="K129" s="72">
        <v>8</v>
      </c>
      <c r="L129" s="72">
        <v>0</v>
      </c>
      <c r="M129" s="97"/>
      <c r="N129" s="98">
        <v>8</v>
      </c>
      <c r="P129" s="70"/>
      <c r="Q129" s="71"/>
      <c r="R129" s="72">
        <v>5</v>
      </c>
      <c r="S129" s="72">
        <v>0</v>
      </c>
      <c r="T129" s="97"/>
      <c r="U129" s="98">
        <v>5</v>
      </c>
    </row>
    <row r="130" spans="2:27" x14ac:dyDescent="0.25">
      <c r="J130" s="78"/>
      <c r="Q130" s="78"/>
    </row>
    <row r="131" spans="2:27" x14ac:dyDescent="0.25">
      <c r="C131" s="78"/>
      <c r="J131" s="78"/>
      <c r="Q131" s="78"/>
    </row>
    <row r="132" spans="2:27" s="6" customFormat="1" ht="19.5" thickBot="1" x14ac:dyDescent="0.35">
      <c r="B132" s="15" t="s">
        <v>340</v>
      </c>
      <c r="C132" s="85"/>
      <c r="E132" s="16"/>
      <c r="F132" s="16"/>
      <c r="G132" s="16"/>
      <c r="I132" s="15" t="s">
        <v>340</v>
      </c>
      <c r="J132" s="85"/>
      <c r="L132" s="16"/>
      <c r="M132" s="16"/>
      <c r="N132" s="16"/>
      <c r="P132" s="15" t="s">
        <v>340</v>
      </c>
      <c r="Q132" s="85"/>
      <c r="S132" s="16"/>
      <c r="T132" s="16"/>
      <c r="U132" s="16"/>
      <c r="W132" s="15" t="s">
        <v>102</v>
      </c>
    </row>
    <row r="133" spans="2:27" ht="30" x14ac:dyDescent="0.25">
      <c r="B133" s="20" t="s">
        <v>22</v>
      </c>
      <c r="C133" s="21" t="s">
        <v>23</v>
      </c>
      <c r="D133" s="21" t="s">
        <v>24</v>
      </c>
      <c r="E133" s="21" t="s">
        <v>25</v>
      </c>
      <c r="F133" s="22" t="s">
        <v>26</v>
      </c>
      <c r="G133" s="23" t="s">
        <v>27</v>
      </c>
      <c r="I133" s="20" t="s">
        <v>22</v>
      </c>
      <c r="J133" s="21" t="s">
        <v>23</v>
      </c>
      <c r="K133" s="21" t="s">
        <v>24</v>
      </c>
      <c r="L133" s="21" t="s">
        <v>25</v>
      </c>
      <c r="M133" s="22" t="s">
        <v>26</v>
      </c>
      <c r="N133" s="23" t="s">
        <v>27</v>
      </c>
      <c r="P133" s="20" t="s">
        <v>22</v>
      </c>
      <c r="Q133" s="21" t="s">
        <v>23</v>
      </c>
      <c r="R133" s="21" t="s">
        <v>24</v>
      </c>
      <c r="S133" s="21" t="s">
        <v>25</v>
      </c>
      <c r="T133" s="22" t="s">
        <v>26</v>
      </c>
      <c r="U133" s="23" t="s">
        <v>27</v>
      </c>
      <c r="W133" s="25"/>
      <c r="X133" s="26" t="s">
        <v>24</v>
      </c>
      <c r="Y133" s="27" t="s">
        <v>25</v>
      </c>
      <c r="Z133" s="27" t="s">
        <v>27</v>
      </c>
      <c r="AA133" s="28" t="s">
        <v>28</v>
      </c>
    </row>
    <row r="134" spans="2:27" x14ac:dyDescent="0.25">
      <c r="B134" s="29" t="s">
        <v>29</v>
      </c>
      <c r="C134" s="122" t="s">
        <v>103</v>
      </c>
      <c r="D134" s="177">
        <v>90</v>
      </c>
      <c r="E134" s="32">
        <v>0</v>
      </c>
      <c r="F134" s="6"/>
      <c r="G134" s="90">
        <v>90</v>
      </c>
      <c r="I134" s="29" t="s">
        <v>29</v>
      </c>
      <c r="J134" s="122" t="s">
        <v>103</v>
      </c>
      <c r="K134" s="31">
        <v>6</v>
      </c>
      <c r="L134" s="32">
        <v>0</v>
      </c>
      <c r="M134" s="6"/>
      <c r="N134" s="90">
        <v>6</v>
      </c>
      <c r="P134" s="29" t="s">
        <v>29</v>
      </c>
      <c r="Q134" s="122" t="s">
        <v>103</v>
      </c>
      <c r="R134" s="31">
        <v>5</v>
      </c>
      <c r="S134" s="32">
        <v>0</v>
      </c>
      <c r="T134" s="6"/>
      <c r="U134" s="90">
        <v>5</v>
      </c>
      <c r="W134" s="38" t="s">
        <v>29</v>
      </c>
      <c r="X134" s="39">
        <v>101</v>
      </c>
      <c r="Y134" s="40">
        <v>0</v>
      </c>
      <c r="Z134" s="32">
        <f>SUM(X134,Y134)</f>
        <v>101</v>
      </c>
      <c r="AA134" s="41">
        <f>Z134/Z136*100</f>
        <v>98.05825242718447</v>
      </c>
    </row>
    <row r="135" spans="2:27" x14ac:dyDescent="0.25">
      <c r="B135" s="47"/>
      <c r="C135" s="178">
        <v>0.06</v>
      </c>
      <c r="D135" s="49">
        <v>0</v>
      </c>
      <c r="E135" s="50">
        <v>0</v>
      </c>
      <c r="F135" s="127"/>
      <c r="G135" s="94"/>
      <c r="I135" s="47"/>
      <c r="J135" s="178">
        <v>0.06</v>
      </c>
      <c r="K135" s="49">
        <v>0</v>
      </c>
      <c r="L135" s="50">
        <v>0</v>
      </c>
      <c r="M135" s="127"/>
      <c r="N135" s="94"/>
      <c r="P135" s="47"/>
      <c r="Q135" s="178">
        <v>0.06</v>
      </c>
      <c r="R135" s="49">
        <v>0</v>
      </c>
      <c r="S135" s="50">
        <v>0</v>
      </c>
      <c r="T135" s="127"/>
      <c r="U135" s="94"/>
      <c r="W135" s="56" t="s">
        <v>32</v>
      </c>
      <c r="X135" s="57">
        <v>2</v>
      </c>
      <c r="Y135" s="58">
        <v>0</v>
      </c>
      <c r="Z135" s="50">
        <f>SUM(X135,Y135)</f>
        <v>2</v>
      </c>
      <c r="AA135" s="59">
        <f>Z135/Z136*100</f>
        <v>1.9417475728155338</v>
      </c>
    </row>
    <row r="136" spans="2:27" x14ac:dyDescent="0.25">
      <c r="B136" s="29" t="s">
        <v>32</v>
      </c>
      <c r="C136" s="176">
        <v>0.12</v>
      </c>
      <c r="D136" s="45">
        <v>0</v>
      </c>
      <c r="E136" s="32">
        <v>0</v>
      </c>
      <c r="F136" s="6"/>
      <c r="G136" s="90">
        <v>0</v>
      </c>
      <c r="I136" s="29" t="s">
        <v>32</v>
      </c>
      <c r="J136" s="176">
        <v>0.12</v>
      </c>
      <c r="K136" s="45">
        <v>0</v>
      </c>
      <c r="L136" s="32">
        <v>0</v>
      </c>
      <c r="M136" s="6"/>
      <c r="N136" s="90">
        <v>2</v>
      </c>
      <c r="P136" s="29" t="s">
        <v>32</v>
      </c>
      <c r="Q136" s="176">
        <v>0.12</v>
      </c>
      <c r="R136" s="45">
        <v>0</v>
      </c>
      <c r="S136" s="32">
        <v>0</v>
      </c>
      <c r="T136" s="6"/>
      <c r="U136" s="90">
        <v>0</v>
      </c>
      <c r="W136" s="56" t="s">
        <v>27</v>
      </c>
      <c r="X136" s="64">
        <f>SUM(X134,X135)</f>
        <v>103</v>
      </c>
      <c r="Y136" s="50">
        <f>SUM(Y134,Y135)</f>
        <v>0</v>
      </c>
      <c r="Z136" s="50">
        <f>SUM(X134:Y135)</f>
        <v>103</v>
      </c>
      <c r="AA136" s="59"/>
    </row>
    <row r="137" spans="2:27" x14ac:dyDescent="0.25">
      <c r="B137" s="42"/>
      <c r="C137" s="176">
        <v>0.25</v>
      </c>
      <c r="D137" s="45">
        <v>0</v>
      </c>
      <c r="E137" s="32">
        <v>0</v>
      </c>
      <c r="F137" s="32"/>
      <c r="G137" s="96"/>
      <c r="I137" s="42"/>
      <c r="J137" s="176">
        <v>0.25</v>
      </c>
      <c r="K137" s="45">
        <v>0</v>
      </c>
      <c r="L137" s="32">
        <v>0</v>
      </c>
      <c r="M137" s="6"/>
      <c r="N137" s="96"/>
      <c r="P137" s="42"/>
      <c r="Q137" s="176">
        <v>0.25</v>
      </c>
      <c r="R137" s="45">
        <v>0</v>
      </c>
      <c r="S137" s="32">
        <v>0</v>
      </c>
      <c r="T137" s="32"/>
      <c r="U137" s="96"/>
      <c r="W137" s="56" t="s">
        <v>28</v>
      </c>
      <c r="X137" s="64">
        <f>X136/Z136*100</f>
        <v>100</v>
      </c>
      <c r="Y137" s="59">
        <f>Y136/Z136*100</f>
        <v>0</v>
      </c>
      <c r="Z137" s="59"/>
      <c r="AA137" s="59"/>
    </row>
    <row r="138" spans="2:27" x14ac:dyDescent="0.25">
      <c r="B138" s="42"/>
      <c r="C138" s="30">
        <v>0.5</v>
      </c>
      <c r="D138" s="45">
        <v>0</v>
      </c>
      <c r="E138" s="32">
        <v>0</v>
      </c>
      <c r="F138" s="32"/>
      <c r="G138" s="96"/>
      <c r="I138" s="42"/>
      <c r="J138" s="30">
        <v>0.5</v>
      </c>
      <c r="K138" s="45">
        <v>0</v>
      </c>
      <c r="L138" s="32">
        <v>0</v>
      </c>
      <c r="M138" s="32"/>
      <c r="N138" s="96"/>
      <c r="P138" s="42"/>
      <c r="Q138" s="30">
        <v>0.5</v>
      </c>
      <c r="R138" s="45">
        <v>0</v>
      </c>
      <c r="S138" s="32">
        <v>0</v>
      </c>
      <c r="T138" s="32"/>
      <c r="U138" s="96"/>
    </row>
    <row r="139" spans="2:27" x14ac:dyDescent="0.25">
      <c r="B139" s="42"/>
      <c r="C139" s="30">
        <v>1</v>
      </c>
      <c r="D139" s="119">
        <v>0</v>
      </c>
      <c r="E139" s="45">
        <v>0</v>
      </c>
      <c r="F139" s="45"/>
      <c r="G139" s="96"/>
      <c r="I139" s="42"/>
      <c r="J139" s="30">
        <v>1</v>
      </c>
      <c r="K139" s="119">
        <v>0</v>
      </c>
      <c r="L139" s="45">
        <v>0</v>
      </c>
      <c r="M139" s="45"/>
      <c r="N139" s="96"/>
      <c r="P139" s="42"/>
      <c r="Q139" s="30">
        <v>1</v>
      </c>
      <c r="R139" s="45">
        <v>0</v>
      </c>
      <c r="S139" s="32">
        <v>0</v>
      </c>
      <c r="T139" s="32"/>
      <c r="U139" s="96"/>
    </row>
    <row r="140" spans="2:27" x14ac:dyDescent="0.25">
      <c r="B140" s="47"/>
      <c r="C140" s="48" t="s">
        <v>104</v>
      </c>
      <c r="D140" s="114">
        <v>0</v>
      </c>
      <c r="E140" s="49">
        <v>0</v>
      </c>
      <c r="F140" s="49"/>
      <c r="G140" s="94"/>
      <c r="I140" s="47"/>
      <c r="J140" s="48" t="s">
        <v>104</v>
      </c>
      <c r="K140" s="132">
        <v>2</v>
      </c>
      <c r="L140" s="49">
        <v>0</v>
      </c>
      <c r="M140" s="49"/>
      <c r="N140" s="94"/>
      <c r="P140" s="47"/>
      <c r="Q140" s="48" t="s">
        <v>104</v>
      </c>
      <c r="R140" s="114">
        <v>0</v>
      </c>
      <c r="S140" s="50">
        <v>0</v>
      </c>
      <c r="T140" s="50"/>
      <c r="U140" s="94"/>
    </row>
    <row r="141" spans="2:27" ht="15.75" thickBot="1" x14ac:dyDescent="0.3">
      <c r="B141" s="70"/>
      <c r="C141" s="71"/>
      <c r="D141" s="72">
        <v>90</v>
      </c>
      <c r="E141" s="72">
        <v>0</v>
      </c>
      <c r="F141" s="97"/>
      <c r="G141" s="98">
        <v>90</v>
      </c>
      <c r="I141" s="70"/>
      <c r="J141" s="71"/>
      <c r="K141" s="72">
        <v>8</v>
      </c>
      <c r="L141" s="72">
        <v>0</v>
      </c>
      <c r="M141" s="97"/>
      <c r="N141" s="98">
        <v>8</v>
      </c>
      <c r="P141" s="70"/>
      <c r="Q141" s="71"/>
      <c r="R141" s="72">
        <v>5</v>
      </c>
      <c r="S141" s="72">
        <v>0</v>
      </c>
      <c r="T141" s="97"/>
      <c r="U141" s="98">
        <v>5</v>
      </c>
    </row>
    <row r="142" spans="2:27" x14ac:dyDescent="0.25">
      <c r="C142" s="78"/>
      <c r="J142" s="78"/>
      <c r="Q142" s="78"/>
    </row>
    <row r="143" spans="2:27" x14ac:dyDescent="0.25">
      <c r="C143" s="78"/>
      <c r="P143" s="179"/>
    </row>
    <row r="144" spans="2:27" ht="18.75" x14ac:dyDescent="0.3">
      <c r="B144" s="9" t="s">
        <v>105</v>
      </c>
      <c r="C144" s="78"/>
      <c r="I144" s="9" t="s">
        <v>106</v>
      </c>
      <c r="P144" s="9" t="s">
        <v>107</v>
      </c>
      <c r="W144" s="9" t="s">
        <v>108</v>
      </c>
    </row>
    <row r="145" spans="2:27" x14ac:dyDescent="0.25">
      <c r="B145" s="25"/>
      <c r="C145" s="26" t="s">
        <v>24</v>
      </c>
      <c r="D145" s="27" t="s">
        <v>25</v>
      </c>
      <c r="E145" s="27" t="s">
        <v>27</v>
      </c>
      <c r="F145" s="28" t="s">
        <v>28</v>
      </c>
      <c r="I145" s="25"/>
      <c r="J145" s="26" t="s">
        <v>24</v>
      </c>
      <c r="K145" s="27" t="s">
        <v>25</v>
      </c>
      <c r="L145" s="27" t="s">
        <v>27</v>
      </c>
      <c r="M145" s="28" t="s">
        <v>28</v>
      </c>
      <c r="P145" s="25"/>
      <c r="Q145" s="26" t="s">
        <v>24</v>
      </c>
      <c r="R145" s="27" t="s">
        <v>25</v>
      </c>
      <c r="S145" s="27" t="s">
        <v>27</v>
      </c>
      <c r="T145" s="28" t="s">
        <v>28</v>
      </c>
      <c r="W145" s="25"/>
      <c r="X145" s="26" t="s">
        <v>24</v>
      </c>
      <c r="Y145" s="27" t="s">
        <v>25</v>
      </c>
      <c r="Z145" s="27" t="s">
        <v>27</v>
      </c>
      <c r="AA145" s="28" t="s">
        <v>28</v>
      </c>
    </row>
    <row r="146" spans="2:27" x14ac:dyDescent="0.25">
      <c r="B146" s="38" t="s">
        <v>109</v>
      </c>
      <c r="C146" s="39">
        <v>1051</v>
      </c>
      <c r="D146" s="40">
        <v>4</v>
      </c>
      <c r="E146" s="32">
        <f>SUM(C146,D146)</f>
        <v>1055</v>
      </c>
      <c r="F146" s="41">
        <f>E146/E148*100</f>
        <v>97.68518518518519</v>
      </c>
      <c r="I146" s="38" t="s">
        <v>109</v>
      </c>
      <c r="J146" s="39">
        <v>54</v>
      </c>
      <c r="K146" s="40">
        <v>3</v>
      </c>
      <c r="L146" s="32">
        <f>SUM(J146,K146)</f>
        <v>57</v>
      </c>
      <c r="M146" s="41">
        <f>L146/L148*100</f>
        <v>64.772727272727266</v>
      </c>
      <c r="P146" s="38" t="s">
        <v>109</v>
      </c>
      <c r="Q146" s="39">
        <v>56</v>
      </c>
      <c r="R146" s="40">
        <v>0</v>
      </c>
      <c r="S146" s="32">
        <f>SUM(Q146,R146)</f>
        <v>56</v>
      </c>
      <c r="T146" s="41">
        <f>S146/S148*100</f>
        <v>96.551724137931032</v>
      </c>
      <c r="W146" s="38" t="s">
        <v>109</v>
      </c>
      <c r="X146" s="39">
        <v>1161</v>
      </c>
      <c r="Y146" s="40">
        <v>7</v>
      </c>
      <c r="Z146" s="32">
        <f>SUM(X146,Y146)</f>
        <v>1168</v>
      </c>
      <c r="AA146" s="41">
        <f>Z146/Z148*100</f>
        <v>95.269168026101141</v>
      </c>
    </row>
    <row r="147" spans="2:27" x14ac:dyDescent="0.25">
      <c r="B147" s="56" t="s">
        <v>110</v>
      </c>
      <c r="C147" s="57">
        <v>3</v>
      </c>
      <c r="D147" s="58">
        <v>22</v>
      </c>
      <c r="E147" s="50">
        <f>SUM(C147,D147)</f>
        <v>25</v>
      </c>
      <c r="F147" s="59">
        <f>E147/E148*100</f>
        <v>2.3148148148148149</v>
      </c>
      <c r="I147" s="56" t="s">
        <v>110</v>
      </c>
      <c r="J147" s="57">
        <v>10</v>
      </c>
      <c r="K147" s="58">
        <v>21</v>
      </c>
      <c r="L147" s="50">
        <f>SUM(J147,K147)</f>
        <v>31</v>
      </c>
      <c r="M147" s="59">
        <f>L147/L148*100</f>
        <v>35.227272727272727</v>
      </c>
      <c r="P147" s="56" t="s">
        <v>110</v>
      </c>
      <c r="Q147" s="57">
        <v>0</v>
      </c>
      <c r="R147" s="58">
        <v>2</v>
      </c>
      <c r="S147" s="50">
        <f>SUM(Q147,R147)</f>
        <v>2</v>
      </c>
      <c r="T147" s="59">
        <f>S147/S148*100</f>
        <v>3.4482758620689653</v>
      </c>
      <c r="W147" s="56" t="s">
        <v>110</v>
      </c>
      <c r="X147" s="57">
        <v>13</v>
      </c>
      <c r="Y147" s="58">
        <v>45</v>
      </c>
      <c r="Z147" s="50">
        <f>SUM(X147,Y147)</f>
        <v>58</v>
      </c>
      <c r="AA147" s="59">
        <f>Z147/Z148*100</f>
        <v>4.7308319738988578</v>
      </c>
    </row>
    <row r="148" spans="2:27" x14ac:dyDescent="0.25">
      <c r="B148" s="56" t="s">
        <v>27</v>
      </c>
      <c r="C148" s="64">
        <f>SUM(C146,C147)</f>
        <v>1054</v>
      </c>
      <c r="D148" s="50">
        <f>SUM(D146,D147)</f>
        <v>26</v>
      </c>
      <c r="E148" s="50">
        <f>SUM(C146:D147)</f>
        <v>1080</v>
      </c>
      <c r="F148" s="59"/>
      <c r="I148" s="56" t="s">
        <v>27</v>
      </c>
      <c r="J148" s="64">
        <f>SUM(J146,J147)</f>
        <v>64</v>
      </c>
      <c r="K148" s="50">
        <f>SUM(K146,K147)</f>
        <v>24</v>
      </c>
      <c r="L148" s="50">
        <f>SUM(J146:K147)</f>
        <v>88</v>
      </c>
      <c r="M148" s="59"/>
      <c r="P148" s="56" t="s">
        <v>27</v>
      </c>
      <c r="Q148" s="64">
        <f>SUM(Q146,Q147)</f>
        <v>56</v>
      </c>
      <c r="R148" s="50">
        <f>SUM(R146,R147)</f>
        <v>2</v>
      </c>
      <c r="S148" s="50">
        <f>SUM(Q146:R147)</f>
        <v>58</v>
      </c>
      <c r="T148" s="59"/>
      <c r="W148" s="56" t="s">
        <v>27</v>
      </c>
      <c r="X148" s="64">
        <f>SUM(X146,X147)</f>
        <v>1174</v>
      </c>
      <c r="Y148" s="50">
        <f>SUM(Y146,Y147)</f>
        <v>52</v>
      </c>
      <c r="Z148" s="50">
        <f>SUM(X146:Y147)</f>
        <v>1226</v>
      </c>
      <c r="AA148" s="59"/>
    </row>
    <row r="149" spans="2:27" x14ac:dyDescent="0.25">
      <c r="B149" s="56" t="s">
        <v>28</v>
      </c>
      <c r="C149" s="64">
        <f>C148/E148*100</f>
        <v>97.592592592592595</v>
      </c>
      <c r="D149" s="59">
        <f>D148/E148*100</f>
        <v>2.4074074074074074</v>
      </c>
      <c r="E149" s="59"/>
      <c r="F149" s="59"/>
      <c r="I149" s="56" t="s">
        <v>28</v>
      </c>
      <c r="J149" s="64">
        <f>J148/L148*100</f>
        <v>72.727272727272734</v>
      </c>
      <c r="K149" s="59">
        <f>K148/L148*100</f>
        <v>27.27272727272727</v>
      </c>
      <c r="L149" s="59"/>
      <c r="M149" s="59"/>
      <c r="P149" s="56" t="s">
        <v>28</v>
      </c>
      <c r="Q149" s="64">
        <f>Q148/S148*100</f>
        <v>96.551724137931032</v>
      </c>
      <c r="R149" s="59">
        <f>R148/S148*100</f>
        <v>3.4482758620689653</v>
      </c>
      <c r="S149" s="59"/>
      <c r="T149" s="59"/>
      <c r="W149" s="56" t="s">
        <v>28</v>
      </c>
      <c r="X149" s="64">
        <f>X148/Z148*100</f>
        <v>95.758564437194124</v>
      </c>
      <c r="Y149" s="59">
        <f>Y148/Z148*100</f>
        <v>4.2414355628058731</v>
      </c>
      <c r="Z149" s="59"/>
      <c r="AA149" s="59"/>
    </row>
    <row r="151" spans="2:27" ht="18.75" x14ac:dyDescent="0.3">
      <c r="B151" s="9" t="s">
        <v>111</v>
      </c>
      <c r="D151" s="6"/>
      <c r="E151" s="6"/>
      <c r="F151" s="6"/>
      <c r="G151" s="6"/>
      <c r="H151" s="6"/>
      <c r="S151" s="179"/>
    </row>
    <row r="152" spans="2:27" x14ac:dyDescent="0.25">
      <c r="B152" s="180" t="s">
        <v>112</v>
      </c>
    </row>
    <row r="154" spans="2:27" x14ac:dyDescent="0.25">
      <c r="B154" s="181" t="s">
        <v>113</v>
      </c>
      <c r="C154" s="1"/>
      <c r="G154" s="12"/>
    </row>
    <row r="155" spans="2:27" x14ac:dyDescent="0.25">
      <c r="B155" s="182"/>
      <c r="C155" s="182"/>
      <c r="D155" s="183" t="s">
        <v>114</v>
      </c>
      <c r="E155" s="183" t="s">
        <v>17</v>
      </c>
      <c r="F155" s="184" t="s">
        <v>115</v>
      </c>
    </row>
    <row r="156" spans="2:27" x14ac:dyDescent="0.25">
      <c r="B156" s="185"/>
      <c r="C156" s="185"/>
      <c r="D156" s="99" t="s">
        <v>116</v>
      </c>
      <c r="E156" s="99" t="s">
        <v>116</v>
      </c>
      <c r="F156" s="38" t="s">
        <v>116</v>
      </c>
    </row>
    <row r="157" spans="2:27" x14ac:dyDescent="0.25">
      <c r="B157" s="186" t="s">
        <v>22</v>
      </c>
      <c r="C157" s="187" t="s">
        <v>23</v>
      </c>
      <c r="D157" s="188" t="s">
        <v>117</v>
      </c>
      <c r="E157" s="56" t="s">
        <v>117</v>
      </c>
      <c r="F157" s="59" t="s">
        <v>117</v>
      </c>
    </row>
    <row r="158" spans="2:27" x14ac:dyDescent="0.25">
      <c r="B158" s="189" t="s">
        <v>29</v>
      </c>
      <c r="C158" s="182" t="s">
        <v>118</v>
      </c>
      <c r="D158" s="183">
        <v>89</v>
      </c>
      <c r="E158" s="184">
        <v>6</v>
      </c>
      <c r="F158" s="110">
        <v>5</v>
      </c>
    </row>
    <row r="159" spans="2:27" x14ac:dyDescent="0.25">
      <c r="B159" s="190"/>
      <c r="C159" s="187">
        <v>1</v>
      </c>
      <c r="D159" s="188">
        <v>1</v>
      </c>
      <c r="E159" s="56">
        <v>1</v>
      </c>
      <c r="F159" s="59">
        <v>0</v>
      </c>
    </row>
    <row r="160" spans="2:27" x14ac:dyDescent="0.25">
      <c r="B160" s="189" t="s">
        <v>32</v>
      </c>
      <c r="C160" s="185">
        <v>2</v>
      </c>
      <c r="D160" s="99">
        <v>0</v>
      </c>
      <c r="E160" s="38">
        <v>0</v>
      </c>
      <c r="F160" s="41">
        <v>0</v>
      </c>
    </row>
    <row r="161" spans="2:16" x14ac:dyDescent="0.25">
      <c r="B161" s="191"/>
      <c r="C161" s="185">
        <v>4</v>
      </c>
      <c r="D161" s="99">
        <v>0</v>
      </c>
      <c r="E161" s="38">
        <v>0</v>
      </c>
      <c r="F161" s="41">
        <v>0</v>
      </c>
    </row>
    <row r="162" spans="2:16" x14ac:dyDescent="0.25">
      <c r="B162" s="190"/>
      <c r="C162" s="187" t="s">
        <v>119</v>
      </c>
      <c r="D162" s="188">
        <v>0</v>
      </c>
      <c r="E162" s="192">
        <v>1</v>
      </c>
      <c r="F162" s="59">
        <v>0</v>
      </c>
    </row>
    <row r="163" spans="2:16" x14ac:dyDescent="0.25">
      <c r="B163" s="78"/>
      <c r="C163" s="78"/>
      <c r="E163" s="179"/>
    </row>
    <row r="164" spans="2:16" x14ac:dyDescent="0.25">
      <c r="B164" s="181" t="s">
        <v>120</v>
      </c>
      <c r="C164" s="181"/>
      <c r="D164" s="1"/>
      <c r="G164" s="12"/>
    </row>
    <row r="165" spans="2:16" x14ac:dyDescent="0.25">
      <c r="B165" s="182"/>
      <c r="C165" s="182"/>
      <c r="D165" s="183" t="s">
        <v>114</v>
      </c>
      <c r="E165" s="183" t="s">
        <v>17</v>
      </c>
      <c r="F165" s="184" t="s">
        <v>115</v>
      </c>
      <c r="G165" s="193"/>
    </row>
    <row r="166" spans="2:16" x14ac:dyDescent="0.25">
      <c r="B166" s="185"/>
      <c r="C166" s="185"/>
      <c r="D166" s="99" t="s">
        <v>116</v>
      </c>
      <c r="E166" s="99" t="s">
        <v>116</v>
      </c>
      <c r="F166" s="38" t="s">
        <v>116</v>
      </c>
    </row>
    <row r="167" spans="2:16" x14ac:dyDescent="0.25">
      <c r="B167" s="186" t="s">
        <v>22</v>
      </c>
      <c r="C167" s="187" t="s">
        <v>23</v>
      </c>
      <c r="D167" s="188" t="s">
        <v>117</v>
      </c>
      <c r="E167" s="56" t="s">
        <v>117</v>
      </c>
      <c r="F167" s="59" t="s">
        <v>117</v>
      </c>
    </row>
    <row r="168" spans="2:16" x14ac:dyDescent="0.25">
      <c r="B168" s="189" t="s">
        <v>31</v>
      </c>
      <c r="C168" s="185" t="s">
        <v>118</v>
      </c>
      <c r="D168" s="99">
        <v>84</v>
      </c>
      <c r="E168" s="38">
        <v>3</v>
      </c>
      <c r="F168" s="41">
        <v>5</v>
      </c>
    </row>
    <row r="169" spans="2:16" x14ac:dyDescent="0.25">
      <c r="B169" s="190"/>
      <c r="C169" s="187">
        <v>1</v>
      </c>
      <c r="D169" s="188">
        <v>2</v>
      </c>
      <c r="E169" s="56">
        <v>1</v>
      </c>
      <c r="F169" s="59">
        <v>0</v>
      </c>
    </row>
    <row r="170" spans="2:16" x14ac:dyDescent="0.25">
      <c r="B170" s="189" t="s">
        <v>32</v>
      </c>
      <c r="C170" s="185">
        <v>2</v>
      </c>
      <c r="D170" s="194">
        <v>1</v>
      </c>
      <c r="E170" s="38">
        <v>0</v>
      </c>
      <c r="F170" s="41">
        <v>0</v>
      </c>
    </row>
    <row r="171" spans="2:16" x14ac:dyDescent="0.25">
      <c r="B171" s="191"/>
      <c r="C171" s="185">
        <v>4</v>
      </c>
      <c r="D171" s="194">
        <v>1</v>
      </c>
      <c r="E171" s="195">
        <v>2</v>
      </c>
      <c r="F171" s="41">
        <v>0</v>
      </c>
    </row>
    <row r="172" spans="2:16" x14ac:dyDescent="0.25">
      <c r="B172" s="190"/>
      <c r="C172" s="187" t="s">
        <v>119</v>
      </c>
      <c r="D172" s="196">
        <v>2</v>
      </c>
      <c r="E172" s="192">
        <v>2</v>
      </c>
      <c r="F172" s="59">
        <v>0</v>
      </c>
    </row>
    <row r="173" spans="2:16" x14ac:dyDescent="0.25">
      <c r="B173" s="78"/>
      <c r="C173" s="78"/>
    </row>
    <row r="174" spans="2:16" x14ac:dyDescent="0.25">
      <c r="B174" s="78"/>
      <c r="C174" s="78"/>
      <c r="P174" s="179"/>
    </row>
    <row r="175" spans="2:16" x14ac:dyDescent="0.25">
      <c r="B175" s="181" t="s">
        <v>121</v>
      </c>
      <c r="C175" s="181"/>
      <c r="D175" s="1"/>
      <c r="G175" s="12"/>
      <c r="P175" s="179"/>
    </row>
    <row r="176" spans="2:16" x14ac:dyDescent="0.25">
      <c r="B176" s="182"/>
      <c r="C176" s="182"/>
      <c r="D176" s="197" t="s">
        <v>114</v>
      </c>
      <c r="E176" s="198" t="s">
        <v>17</v>
      </c>
      <c r="F176" s="199" t="s">
        <v>115</v>
      </c>
      <c r="P176" s="179"/>
    </row>
    <row r="177" spans="2:16" x14ac:dyDescent="0.25">
      <c r="B177" s="185"/>
      <c r="C177" s="185"/>
      <c r="D177" s="200" t="s">
        <v>122</v>
      </c>
      <c r="E177" s="201" t="s">
        <v>122</v>
      </c>
      <c r="F177" s="201" t="s">
        <v>122</v>
      </c>
      <c r="P177" s="179"/>
    </row>
    <row r="178" spans="2:16" x14ac:dyDescent="0.25">
      <c r="B178" s="186" t="s">
        <v>22</v>
      </c>
      <c r="C178" s="187" t="s">
        <v>23</v>
      </c>
      <c r="D178" s="188" t="s">
        <v>117</v>
      </c>
      <c r="E178" s="56" t="s">
        <v>117</v>
      </c>
      <c r="F178" s="59" t="s">
        <v>117</v>
      </c>
      <c r="P178" s="179"/>
    </row>
    <row r="179" spans="2:16" x14ac:dyDescent="0.25">
      <c r="B179" s="202" t="s">
        <v>29</v>
      </c>
      <c r="C179" s="202" t="s">
        <v>123</v>
      </c>
      <c r="D179" s="203">
        <v>86</v>
      </c>
      <c r="E179" s="25">
        <v>3</v>
      </c>
      <c r="F179" s="28">
        <v>5</v>
      </c>
      <c r="P179" s="179"/>
    </row>
    <row r="180" spans="2:16" x14ac:dyDescent="0.25">
      <c r="B180" s="189" t="s">
        <v>32</v>
      </c>
      <c r="C180" s="185">
        <v>0.5</v>
      </c>
      <c r="D180" s="194">
        <v>2</v>
      </c>
      <c r="E180" s="38">
        <v>0</v>
      </c>
      <c r="F180" s="41">
        <v>0</v>
      </c>
      <c r="P180" s="179"/>
    </row>
    <row r="181" spans="2:16" x14ac:dyDescent="0.25">
      <c r="B181" s="191"/>
      <c r="C181" s="185">
        <v>1</v>
      </c>
      <c r="D181" s="99">
        <v>0</v>
      </c>
      <c r="E181" s="195">
        <v>3</v>
      </c>
      <c r="F181" s="41">
        <v>0</v>
      </c>
      <c r="P181" s="179"/>
    </row>
    <row r="182" spans="2:16" x14ac:dyDescent="0.25">
      <c r="B182" s="191"/>
      <c r="C182" s="185">
        <v>2</v>
      </c>
      <c r="D182" s="194">
        <v>1</v>
      </c>
      <c r="E182" s="38">
        <v>0</v>
      </c>
      <c r="F182" s="41">
        <v>0</v>
      </c>
      <c r="P182" s="179"/>
    </row>
    <row r="183" spans="2:16" x14ac:dyDescent="0.25">
      <c r="B183" s="190"/>
      <c r="C183" s="187" t="s">
        <v>124</v>
      </c>
      <c r="D183" s="196">
        <v>1</v>
      </c>
      <c r="E183" s="192">
        <v>2</v>
      </c>
      <c r="F183" s="59">
        <v>0</v>
      </c>
      <c r="P183" s="179"/>
    </row>
    <row r="184" spans="2:16" x14ac:dyDescent="0.25">
      <c r="B184" s="78"/>
      <c r="C184" s="78"/>
      <c r="P184" s="179"/>
    </row>
    <row r="185" spans="2:16" x14ac:dyDescent="0.25">
      <c r="B185" s="181" t="s">
        <v>125</v>
      </c>
      <c r="C185" s="204" t="s">
        <v>126</v>
      </c>
      <c r="D185" s="1"/>
      <c r="G185" s="12"/>
      <c r="P185" s="179"/>
    </row>
    <row r="186" spans="2:16" x14ac:dyDescent="0.25">
      <c r="B186" s="205"/>
      <c r="C186" s="205"/>
      <c r="D186" s="197" t="s">
        <v>114</v>
      </c>
      <c r="E186" s="206" t="s">
        <v>127</v>
      </c>
      <c r="F186" s="207" t="s">
        <v>128</v>
      </c>
      <c r="P186" s="179"/>
    </row>
    <row r="187" spans="2:16" x14ac:dyDescent="0.25">
      <c r="B187" s="208"/>
      <c r="C187" s="208"/>
      <c r="D187" s="200" t="s">
        <v>129</v>
      </c>
      <c r="E187" s="209" t="s">
        <v>130</v>
      </c>
      <c r="F187" s="209" t="s">
        <v>130</v>
      </c>
      <c r="P187" s="179"/>
    </row>
    <row r="188" spans="2:16" x14ac:dyDescent="0.25">
      <c r="B188" s="186" t="s">
        <v>22</v>
      </c>
      <c r="C188" s="186" t="s">
        <v>23</v>
      </c>
      <c r="D188" s="188" t="s">
        <v>117</v>
      </c>
      <c r="E188" s="210" t="s">
        <v>117</v>
      </c>
      <c r="F188" s="151" t="s">
        <v>117</v>
      </c>
      <c r="P188" s="179"/>
    </row>
    <row r="189" spans="2:16" x14ac:dyDescent="0.25">
      <c r="B189" s="189" t="s">
        <v>29</v>
      </c>
      <c r="C189" s="182" t="s">
        <v>118</v>
      </c>
      <c r="D189" s="183">
        <v>90</v>
      </c>
      <c r="E189" s="211">
        <v>7</v>
      </c>
      <c r="F189" s="146">
        <v>5</v>
      </c>
      <c r="P189" s="179"/>
    </row>
    <row r="190" spans="2:16" x14ac:dyDescent="0.25">
      <c r="B190" s="190"/>
      <c r="C190" s="186">
        <v>1</v>
      </c>
      <c r="D190" s="59">
        <v>0</v>
      </c>
      <c r="E190" s="5">
        <v>0</v>
      </c>
      <c r="F190" s="152">
        <v>0</v>
      </c>
      <c r="P190" s="179"/>
    </row>
    <row r="191" spans="2:16" x14ac:dyDescent="0.25">
      <c r="B191" s="202" t="s">
        <v>31</v>
      </c>
      <c r="C191" s="202">
        <v>2</v>
      </c>
      <c r="D191" s="25">
        <v>0</v>
      </c>
      <c r="E191" s="212">
        <v>0</v>
      </c>
      <c r="F191" s="152">
        <v>0</v>
      </c>
      <c r="P191" s="179"/>
    </row>
    <row r="192" spans="2:16" x14ac:dyDescent="0.25">
      <c r="B192" s="191" t="s">
        <v>32</v>
      </c>
      <c r="C192" s="185">
        <v>4</v>
      </c>
      <c r="D192" s="99">
        <v>0</v>
      </c>
      <c r="E192" s="212">
        <v>0</v>
      </c>
      <c r="F192" s="152">
        <v>0</v>
      </c>
      <c r="P192" s="179"/>
    </row>
    <row r="193" spans="2:16" x14ac:dyDescent="0.25">
      <c r="B193" s="190"/>
      <c r="C193" s="187" t="s">
        <v>119</v>
      </c>
      <c r="D193" s="188">
        <v>0</v>
      </c>
      <c r="E193" s="213">
        <v>1</v>
      </c>
      <c r="F193" s="210">
        <v>0</v>
      </c>
      <c r="P193" s="179"/>
    </row>
    <row r="194" spans="2:16" x14ac:dyDescent="0.25">
      <c r="B194" s="78"/>
      <c r="F194" s="5"/>
      <c r="P194" s="179"/>
    </row>
    <row r="195" spans="2:16" x14ac:dyDescent="0.25">
      <c r="B195" s="78"/>
      <c r="P195" s="179"/>
    </row>
    <row r="196" spans="2:16" ht="18.75" x14ac:dyDescent="0.3">
      <c r="B196" s="214" t="s">
        <v>131</v>
      </c>
      <c r="H196" s="179"/>
      <c r="P196" s="179"/>
    </row>
    <row r="197" spans="2:16" x14ac:dyDescent="0.25">
      <c r="B197" s="78" t="s">
        <v>132</v>
      </c>
      <c r="H197" s="179"/>
      <c r="P197" s="179"/>
    </row>
    <row r="198" spans="2:16" x14ac:dyDescent="0.25">
      <c r="B198" s="78"/>
      <c r="H198" s="179"/>
      <c r="P198" s="179"/>
    </row>
    <row r="199" spans="2:16" x14ac:dyDescent="0.25">
      <c r="B199" s="215" t="s">
        <v>133</v>
      </c>
      <c r="C199" s="216" t="s">
        <v>130</v>
      </c>
      <c r="D199" s="5"/>
      <c r="E199" s="5"/>
      <c r="F199" s="5"/>
      <c r="G199" s="5"/>
      <c r="H199" s="217"/>
      <c r="P199" s="179"/>
    </row>
    <row r="200" spans="2:16" x14ac:dyDescent="0.25">
      <c r="B200" s="218"/>
      <c r="C200" s="219" t="s">
        <v>114</v>
      </c>
      <c r="D200" s="145"/>
      <c r="E200" s="145" t="s">
        <v>127</v>
      </c>
      <c r="F200" s="145"/>
      <c r="G200" s="145" t="s">
        <v>128</v>
      </c>
      <c r="H200" s="145"/>
      <c r="P200" s="179"/>
    </row>
    <row r="201" spans="2:16" x14ac:dyDescent="0.25">
      <c r="B201" s="220"/>
      <c r="C201" s="5" t="s">
        <v>130</v>
      </c>
      <c r="D201" s="151"/>
      <c r="E201" s="5" t="s">
        <v>130</v>
      </c>
      <c r="F201" s="151"/>
      <c r="G201" s="5" t="s">
        <v>130</v>
      </c>
      <c r="H201" s="151"/>
      <c r="P201" s="179"/>
    </row>
    <row r="202" spans="2:16" x14ac:dyDescent="0.25">
      <c r="B202" s="221" t="s">
        <v>23</v>
      </c>
      <c r="C202" s="222" t="s">
        <v>117</v>
      </c>
      <c r="D202" s="162" t="s">
        <v>26</v>
      </c>
      <c r="E202" s="222" t="s">
        <v>117</v>
      </c>
      <c r="F202" s="162" t="s">
        <v>26</v>
      </c>
      <c r="G202" s="222" t="s">
        <v>117</v>
      </c>
      <c r="H202" s="162" t="s">
        <v>26</v>
      </c>
      <c r="P202" s="179"/>
    </row>
    <row r="203" spans="2:16" x14ac:dyDescent="0.25">
      <c r="B203" s="223" t="s">
        <v>46</v>
      </c>
      <c r="C203" s="5">
        <v>90</v>
      </c>
      <c r="D203" s="224" t="s">
        <v>134</v>
      </c>
      <c r="E203" s="225">
        <v>6</v>
      </c>
      <c r="F203" s="151"/>
      <c r="G203" s="225">
        <v>5</v>
      </c>
      <c r="H203" s="226"/>
      <c r="P203" s="179"/>
    </row>
    <row r="204" spans="2:16" x14ac:dyDescent="0.25">
      <c r="B204" s="220">
        <v>1</v>
      </c>
      <c r="C204" s="5"/>
      <c r="D204" s="151"/>
      <c r="E204" s="225">
        <v>0</v>
      </c>
      <c r="F204" s="151"/>
      <c r="G204" s="225">
        <v>0</v>
      </c>
      <c r="H204" s="226"/>
      <c r="P204" s="179"/>
    </row>
    <row r="205" spans="2:16" x14ac:dyDescent="0.25">
      <c r="B205" s="220">
        <v>2</v>
      </c>
      <c r="C205" s="5"/>
      <c r="D205" s="151"/>
      <c r="E205" s="227">
        <v>0</v>
      </c>
      <c r="F205" s="151"/>
      <c r="G205" s="227">
        <v>0</v>
      </c>
      <c r="H205" s="226"/>
      <c r="P205" s="179"/>
    </row>
    <row r="206" spans="2:16" x14ac:dyDescent="0.25">
      <c r="B206" s="220">
        <v>4</v>
      </c>
      <c r="C206" s="5"/>
      <c r="D206" s="151"/>
      <c r="E206" s="227">
        <v>0</v>
      </c>
      <c r="F206" s="151"/>
      <c r="G206" s="227">
        <v>0</v>
      </c>
      <c r="H206" s="226"/>
      <c r="P206" s="179"/>
    </row>
    <row r="207" spans="2:16" x14ac:dyDescent="0.25">
      <c r="B207" s="220">
        <v>8</v>
      </c>
      <c r="C207" s="5"/>
      <c r="D207" s="151"/>
      <c r="E207" s="227">
        <v>0</v>
      </c>
      <c r="F207" s="151"/>
      <c r="G207" s="227">
        <v>0</v>
      </c>
      <c r="H207" s="226"/>
      <c r="P207" s="179"/>
    </row>
    <row r="208" spans="2:16" x14ac:dyDescent="0.25">
      <c r="B208" s="221" t="s">
        <v>87</v>
      </c>
      <c r="C208" s="222"/>
      <c r="D208" s="162"/>
      <c r="E208" s="228">
        <v>2</v>
      </c>
      <c r="F208" s="162"/>
      <c r="G208" s="228">
        <v>0</v>
      </c>
      <c r="H208" s="229"/>
      <c r="P208" s="179"/>
    </row>
    <row r="209" spans="2:16" x14ac:dyDescent="0.25">
      <c r="B209" s="230"/>
      <c r="C209" s="5"/>
      <c r="D209" s="5"/>
      <c r="E209" s="5"/>
      <c r="F209" s="5"/>
      <c r="G209" s="5"/>
      <c r="H209" s="217"/>
      <c r="P209" s="179"/>
    </row>
    <row r="210" spans="2:16" x14ac:dyDescent="0.25">
      <c r="B210" s="215" t="s">
        <v>135</v>
      </c>
      <c r="C210" s="216" t="s">
        <v>136</v>
      </c>
      <c r="E210" s="5"/>
      <c r="G210" s="5"/>
      <c r="I210" s="231"/>
      <c r="P210" s="179"/>
    </row>
    <row r="211" spans="2:16" x14ac:dyDescent="0.25">
      <c r="B211" s="218"/>
      <c r="C211" s="219" t="s">
        <v>114</v>
      </c>
      <c r="D211" s="145"/>
      <c r="E211" s="145" t="s">
        <v>127</v>
      </c>
      <c r="F211" s="145"/>
      <c r="G211" s="145" t="s">
        <v>128</v>
      </c>
      <c r="H211" s="145"/>
      <c r="P211" s="179"/>
    </row>
    <row r="212" spans="2:16" x14ac:dyDescent="0.25">
      <c r="B212" s="220"/>
      <c r="C212" s="232" t="s">
        <v>137</v>
      </c>
      <c r="D212" s="151"/>
      <c r="E212" s="5" t="s">
        <v>130</v>
      </c>
      <c r="F212" s="151"/>
      <c r="G212" s="5" t="s">
        <v>130</v>
      </c>
      <c r="H212" s="151"/>
      <c r="P212" s="179"/>
    </row>
    <row r="213" spans="2:16" x14ac:dyDescent="0.25">
      <c r="B213" s="221" t="s">
        <v>23</v>
      </c>
      <c r="C213" s="222" t="s">
        <v>117</v>
      </c>
      <c r="D213" s="162" t="s">
        <v>26</v>
      </c>
      <c r="E213" s="222" t="s">
        <v>117</v>
      </c>
      <c r="F213" s="162" t="s">
        <v>26</v>
      </c>
      <c r="G213" s="222" t="s">
        <v>117</v>
      </c>
      <c r="H213" s="162" t="s">
        <v>26</v>
      </c>
      <c r="P213" s="179"/>
    </row>
    <row r="214" spans="2:16" x14ac:dyDescent="0.25">
      <c r="B214" s="220" t="s">
        <v>138</v>
      </c>
      <c r="C214" s="5">
        <v>83</v>
      </c>
      <c r="D214" s="151"/>
      <c r="E214" s="5">
        <v>4</v>
      </c>
      <c r="F214" s="151"/>
      <c r="G214" s="5">
        <v>5</v>
      </c>
      <c r="H214" s="151"/>
      <c r="P214" s="179"/>
    </row>
    <row r="215" spans="2:16" x14ac:dyDescent="0.25">
      <c r="B215" s="220">
        <v>8</v>
      </c>
      <c r="C215" s="233">
        <v>1</v>
      </c>
      <c r="D215" s="151"/>
      <c r="E215" s="5">
        <v>0</v>
      </c>
      <c r="F215" s="151"/>
      <c r="G215" s="5">
        <v>0</v>
      </c>
      <c r="H215" s="151"/>
      <c r="P215" s="179"/>
    </row>
    <row r="216" spans="2:16" x14ac:dyDescent="0.25">
      <c r="B216" s="220">
        <v>16</v>
      </c>
      <c r="C216" s="233">
        <v>4</v>
      </c>
      <c r="D216" s="151"/>
      <c r="E216" s="5">
        <v>0</v>
      </c>
      <c r="F216" s="151"/>
      <c r="G216" s="5">
        <v>0</v>
      </c>
      <c r="H216" s="151"/>
      <c r="P216" s="179"/>
    </row>
    <row r="217" spans="2:16" x14ac:dyDescent="0.25">
      <c r="B217" s="221" t="s">
        <v>139</v>
      </c>
      <c r="C217" s="234">
        <v>2</v>
      </c>
      <c r="D217" s="162"/>
      <c r="E217" s="234">
        <v>4</v>
      </c>
      <c r="F217" s="162"/>
      <c r="G217" s="222">
        <v>0</v>
      </c>
      <c r="H217" s="162"/>
      <c r="P217" s="179"/>
    </row>
    <row r="218" spans="2:16" x14ac:dyDescent="0.25">
      <c r="B218" s="78"/>
      <c r="H218" s="179"/>
      <c r="P218" s="179"/>
    </row>
    <row r="219" spans="2:16" x14ac:dyDescent="0.25">
      <c r="B219" s="215" t="s">
        <v>140</v>
      </c>
      <c r="C219" s="216" t="s">
        <v>141</v>
      </c>
      <c r="D219" s="5"/>
      <c r="E219" s="5"/>
      <c r="F219" s="5"/>
      <c r="G219" s="5"/>
      <c r="H219" s="5"/>
      <c r="P219" s="179"/>
    </row>
    <row r="220" spans="2:16" x14ac:dyDescent="0.25">
      <c r="B220" s="218"/>
      <c r="C220" s="235" t="s">
        <v>114</v>
      </c>
      <c r="D220" s="236"/>
      <c r="E220" s="235" t="s">
        <v>17</v>
      </c>
      <c r="F220" s="236"/>
      <c r="G220" s="211" t="s">
        <v>115</v>
      </c>
      <c r="H220" s="145"/>
      <c r="P220" s="179"/>
    </row>
    <row r="221" spans="2:16" x14ac:dyDescent="0.25">
      <c r="B221" s="221" t="s">
        <v>23</v>
      </c>
      <c r="C221" s="213" t="s">
        <v>117</v>
      </c>
      <c r="D221" s="162" t="s">
        <v>26</v>
      </c>
      <c r="E221" s="213" t="s">
        <v>117</v>
      </c>
      <c r="F221" s="162" t="s">
        <v>26</v>
      </c>
      <c r="G221" s="213" t="s">
        <v>117</v>
      </c>
      <c r="H221" s="162" t="s">
        <v>26</v>
      </c>
    </row>
    <row r="222" spans="2:16" x14ac:dyDescent="0.25">
      <c r="B222" s="237" t="s">
        <v>142</v>
      </c>
      <c r="C222" s="212">
        <v>3</v>
      </c>
      <c r="D222" s="151"/>
      <c r="E222" s="212">
        <v>0</v>
      </c>
      <c r="F222" s="151"/>
      <c r="G222" s="5">
        <v>4</v>
      </c>
      <c r="H222" s="151"/>
    </row>
    <row r="223" spans="2:16" x14ac:dyDescent="0.25">
      <c r="B223" s="237">
        <v>0.06</v>
      </c>
      <c r="C223" s="212">
        <v>86</v>
      </c>
      <c r="D223" s="151"/>
      <c r="E223" s="212">
        <v>7</v>
      </c>
      <c r="F223" s="151"/>
      <c r="G223" s="5">
        <v>1</v>
      </c>
      <c r="H223" s="151"/>
    </row>
    <row r="224" spans="2:16" x14ac:dyDescent="0.25">
      <c r="B224" s="237">
        <v>0.12</v>
      </c>
      <c r="C224" s="212">
        <v>1</v>
      </c>
      <c r="D224" s="151"/>
      <c r="E224" s="212">
        <v>0</v>
      </c>
      <c r="F224" s="151"/>
      <c r="G224" s="5">
        <v>0</v>
      </c>
      <c r="H224" s="151"/>
    </row>
    <row r="225" spans="2:41" x14ac:dyDescent="0.25">
      <c r="B225" s="237">
        <v>0.25</v>
      </c>
      <c r="C225" s="212">
        <v>0</v>
      </c>
      <c r="D225" s="151"/>
      <c r="E225" s="212">
        <v>0</v>
      </c>
      <c r="F225" s="151"/>
      <c r="G225" s="5">
        <v>0</v>
      </c>
      <c r="H225" s="151"/>
    </row>
    <row r="226" spans="2:41" x14ac:dyDescent="0.25">
      <c r="B226" s="237">
        <v>0.5</v>
      </c>
      <c r="C226" s="212">
        <v>0</v>
      </c>
      <c r="D226" s="151"/>
      <c r="E226" s="212">
        <v>0</v>
      </c>
      <c r="F226" s="151"/>
      <c r="G226" s="5">
        <v>0</v>
      </c>
      <c r="H226" s="151"/>
    </row>
    <row r="227" spans="2:41" x14ac:dyDescent="0.25">
      <c r="B227" s="237">
        <v>1</v>
      </c>
      <c r="C227" s="212">
        <v>0</v>
      </c>
      <c r="D227" s="151"/>
      <c r="E227" s="212">
        <v>0</v>
      </c>
      <c r="F227" s="151"/>
      <c r="G227" s="5">
        <v>0</v>
      </c>
      <c r="H227" s="151"/>
    </row>
    <row r="228" spans="2:41" x14ac:dyDescent="0.25">
      <c r="B228" s="238" t="s">
        <v>104</v>
      </c>
      <c r="C228" s="213">
        <v>0</v>
      </c>
      <c r="D228" s="162"/>
      <c r="E228" s="213">
        <v>1</v>
      </c>
      <c r="F228" s="162"/>
      <c r="G228" s="222">
        <v>0</v>
      </c>
      <c r="H228" s="162"/>
    </row>
    <row r="229" spans="2:41" x14ac:dyDescent="0.25">
      <c r="P229" s="179"/>
      <c r="S229" s="179"/>
    </row>
    <row r="230" spans="2:41" x14ac:dyDescent="0.25">
      <c r="P230" s="179"/>
    </row>
    <row r="231" spans="2:41" s="7" customFormat="1" ht="18.75" x14ac:dyDescent="0.3">
      <c r="B231" s="8" t="s">
        <v>143</v>
      </c>
    </row>
    <row r="232" spans="2:41" x14ac:dyDescent="0.25">
      <c r="P232" s="239"/>
    </row>
    <row r="233" spans="2:41" ht="18.75" x14ac:dyDescent="0.3">
      <c r="B233" s="9" t="s">
        <v>144</v>
      </c>
      <c r="I233" s="9" t="s">
        <v>145</v>
      </c>
      <c r="P233" s="9" t="s">
        <v>146</v>
      </c>
      <c r="U233" s="239"/>
      <c r="W233" s="9" t="s">
        <v>147</v>
      </c>
      <c r="AD233" s="9" t="s">
        <v>148</v>
      </c>
    </row>
    <row r="234" spans="2:41" x14ac:dyDescent="0.25">
      <c r="U234" s="239"/>
      <c r="AD234" t="s">
        <v>149</v>
      </c>
    </row>
    <row r="235" spans="2:41" x14ac:dyDescent="0.25">
      <c r="P235" s="239"/>
    </row>
    <row r="236" spans="2:41" ht="19.5" thickBot="1" x14ac:dyDescent="0.35">
      <c r="B236" s="15" t="s">
        <v>150</v>
      </c>
      <c r="C236" s="16"/>
      <c r="D236" s="12"/>
      <c r="E236" s="15"/>
      <c r="F236" s="17"/>
      <c r="G236" s="18"/>
      <c r="H236" s="9"/>
      <c r="I236" s="15" t="s">
        <v>150</v>
      </c>
      <c r="J236" s="16"/>
      <c r="K236" s="15"/>
      <c r="L236" s="12"/>
      <c r="M236" s="17"/>
      <c r="N236" s="18"/>
      <c r="O236" s="9"/>
      <c r="P236" s="15" t="s">
        <v>150</v>
      </c>
      <c r="Q236" s="16"/>
      <c r="R236" s="15"/>
      <c r="S236" s="12"/>
      <c r="U236" s="18"/>
      <c r="W236" s="15" t="s">
        <v>150</v>
      </c>
      <c r="X236" s="16"/>
      <c r="Y236" s="15"/>
      <c r="Z236" s="12"/>
      <c r="AA236" s="17"/>
      <c r="AB236" s="18"/>
      <c r="AD236" s="139" t="s">
        <v>151</v>
      </c>
      <c r="AE236" s="141"/>
      <c r="AF236" s="139"/>
      <c r="AG236" s="12"/>
      <c r="AH236" s="240"/>
      <c r="AI236" s="241"/>
      <c r="AK236" s="9" t="s">
        <v>152</v>
      </c>
    </row>
    <row r="237" spans="2:41" ht="30" x14ac:dyDescent="0.25">
      <c r="B237" s="20" t="s">
        <v>22</v>
      </c>
      <c r="C237" s="21" t="s">
        <v>23</v>
      </c>
      <c r="D237" s="21" t="s">
        <v>24</v>
      </c>
      <c r="E237" s="21" t="s">
        <v>25</v>
      </c>
      <c r="F237" s="22" t="s">
        <v>26</v>
      </c>
      <c r="G237" s="23" t="s">
        <v>27</v>
      </c>
      <c r="H237" s="242"/>
      <c r="I237" s="20" t="s">
        <v>22</v>
      </c>
      <c r="J237" s="21" t="s">
        <v>23</v>
      </c>
      <c r="K237" s="21" t="s">
        <v>24</v>
      </c>
      <c r="L237" s="21" t="s">
        <v>25</v>
      </c>
      <c r="M237" s="22" t="s">
        <v>26</v>
      </c>
      <c r="N237" s="23" t="s">
        <v>27</v>
      </c>
      <c r="O237" s="242"/>
      <c r="P237" s="20" t="s">
        <v>22</v>
      </c>
      <c r="Q237" s="21" t="s">
        <v>23</v>
      </c>
      <c r="R237" s="21" t="s">
        <v>24</v>
      </c>
      <c r="S237" s="21" t="s">
        <v>25</v>
      </c>
      <c r="T237" s="22" t="s">
        <v>26</v>
      </c>
      <c r="U237" s="23" t="s">
        <v>27</v>
      </c>
      <c r="W237" s="20" t="s">
        <v>22</v>
      </c>
      <c r="X237" s="21" t="s">
        <v>23</v>
      </c>
      <c r="Y237" s="21" t="s">
        <v>24</v>
      </c>
      <c r="Z237" s="21" t="s">
        <v>25</v>
      </c>
      <c r="AA237" s="22" t="s">
        <v>26</v>
      </c>
      <c r="AB237" s="23" t="s">
        <v>27</v>
      </c>
      <c r="AD237" s="20" t="s">
        <v>22</v>
      </c>
      <c r="AE237" s="21" t="s">
        <v>23</v>
      </c>
      <c r="AF237" s="21" t="s">
        <v>24</v>
      </c>
      <c r="AG237" s="21" t="s">
        <v>25</v>
      </c>
      <c r="AH237" s="22" t="s">
        <v>26</v>
      </c>
      <c r="AI237" s="23" t="s">
        <v>27</v>
      </c>
      <c r="AK237" s="25"/>
      <c r="AL237" s="26" t="s">
        <v>24</v>
      </c>
      <c r="AM237" s="27" t="s">
        <v>25</v>
      </c>
      <c r="AN237" s="27" t="s">
        <v>27</v>
      </c>
      <c r="AO237" s="28" t="s">
        <v>28</v>
      </c>
    </row>
    <row r="238" spans="2:41" ht="21.75" customHeight="1" x14ac:dyDescent="0.25">
      <c r="B238" s="243" t="s">
        <v>29</v>
      </c>
      <c r="C238" s="244" t="s">
        <v>30</v>
      </c>
      <c r="D238" s="244">
        <v>0</v>
      </c>
      <c r="E238" s="245">
        <v>15</v>
      </c>
      <c r="F238" s="246" t="s">
        <v>153</v>
      </c>
      <c r="G238" s="247">
        <v>15</v>
      </c>
      <c r="I238" s="243" t="s">
        <v>29</v>
      </c>
      <c r="J238" s="244" t="s">
        <v>30</v>
      </c>
      <c r="K238" s="248">
        <v>11</v>
      </c>
      <c r="L238" s="249">
        <v>0</v>
      </c>
      <c r="M238" s="246"/>
      <c r="N238" s="247">
        <v>11</v>
      </c>
      <c r="P238" s="243" t="s">
        <v>29</v>
      </c>
      <c r="Q238" s="244" t="s">
        <v>30</v>
      </c>
      <c r="R238" s="248">
        <v>8</v>
      </c>
      <c r="S238" s="249">
        <v>0</v>
      </c>
      <c r="T238" s="246"/>
      <c r="U238" s="247">
        <v>8</v>
      </c>
      <c r="W238" s="243" t="s">
        <v>29</v>
      </c>
      <c r="X238" s="244" t="s">
        <v>30</v>
      </c>
      <c r="Y238" s="248">
        <v>4</v>
      </c>
      <c r="Z238" s="249">
        <v>0</v>
      </c>
      <c r="AA238" s="246"/>
      <c r="AB238" s="247">
        <v>4</v>
      </c>
      <c r="AD238" s="250"/>
      <c r="AE238" s="251" t="s">
        <v>30</v>
      </c>
      <c r="AF238" s="251">
        <v>1</v>
      </c>
      <c r="AG238" s="252">
        <v>1</v>
      </c>
      <c r="AH238" s="253" t="s">
        <v>154</v>
      </c>
      <c r="AI238" s="254"/>
      <c r="AK238" s="38" t="s">
        <v>29</v>
      </c>
      <c r="AL238" s="39">
        <v>23</v>
      </c>
      <c r="AM238" s="40">
        <v>15</v>
      </c>
      <c r="AN238" s="32">
        <f>SUM(AL238,AM238)</f>
        <v>38</v>
      </c>
      <c r="AO238" s="41">
        <f>AN238/AN241*100</f>
        <v>74.509803921568633</v>
      </c>
    </row>
    <row r="239" spans="2:41" ht="23.25" customHeight="1" x14ac:dyDescent="0.25">
      <c r="B239" s="255" t="s">
        <v>31</v>
      </c>
      <c r="C239" s="256">
        <v>0.5</v>
      </c>
      <c r="D239" s="256">
        <v>0</v>
      </c>
      <c r="E239" s="256">
        <v>0</v>
      </c>
      <c r="F239" s="257"/>
      <c r="G239" s="258">
        <v>0</v>
      </c>
      <c r="I239" s="255" t="s">
        <v>31</v>
      </c>
      <c r="J239" s="256">
        <v>0.5</v>
      </c>
      <c r="K239" s="256">
        <v>0</v>
      </c>
      <c r="L239" s="256">
        <v>0</v>
      </c>
      <c r="M239" s="257"/>
      <c r="N239" s="258">
        <v>0</v>
      </c>
      <c r="P239" s="255" t="s">
        <v>31</v>
      </c>
      <c r="Q239" s="256">
        <v>0.5</v>
      </c>
      <c r="R239" s="256">
        <v>0</v>
      </c>
      <c r="S239" s="256">
        <v>0</v>
      </c>
      <c r="T239" s="257"/>
      <c r="U239" s="258">
        <v>0</v>
      </c>
      <c r="W239" s="255" t="s">
        <v>31</v>
      </c>
      <c r="X239" s="256">
        <v>0.5</v>
      </c>
      <c r="Y239" s="259">
        <v>1</v>
      </c>
      <c r="Z239" s="256">
        <v>0</v>
      </c>
      <c r="AA239" s="257"/>
      <c r="AB239" s="258">
        <v>1</v>
      </c>
      <c r="AD239" s="260"/>
      <c r="AE239" s="261">
        <v>0.5</v>
      </c>
      <c r="AF239" s="261"/>
      <c r="AG239" s="261"/>
      <c r="AH239" s="261"/>
      <c r="AI239" s="262"/>
      <c r="AK239" s="38" t="s">
        <v>31</v>
      </c>
      <c r="AL239" s="2">
        <v>1</v>
      </c>
      <c r="AM239" s="40">
        <v>0</v>
      </c>
      <c r="AN239" s="32">
        <f>SUM(AL239,AM239)</f>
        <v>1</v>
      </c>
      <c r="AO239" s="41">
        <f>AN239/AN241*100</f>
        <v>1.9607843137254901</v>
      </c>
    </row>
    <row r="240" spans="2:41" ht="30" customHeight="1" x14ac:dyDescent="0.25">
      <c r="B240" s="263" t="s">
        <v>32</v>
      </c>
      <c r="C240" s="264">
        <v>1</v>
      </c>
      <c r="D240" s="264">
        <v>0</v>
      </c>
      <c r="E240" s="264">
        <v>0</v>
      </c>
      <c r="F240" s="265"/>
      <c r="G240" s="266">
        <v>8</v>
      </c>
      <c r="I240" s="263" t="s">
        <v>32</v>
      </c>
      <c r="J240" s="264">
        <v>1</v>
      </c>
      <c r="K240" s="264">
        <v>0</v>
      </c>
      <c r="L240" s="264">
        <v>0</v>
      </c>
      <c r="M240" s="265"/>
      <c r="N240" s="266">
        <v>1</v>
      </c>
      <c r="P240" s="263" t="s">
        <v>32</v>
      </c>
      <c r="Q240" s="264">
        <v>1</v>
      </c>
      <c r="R240" s="267">
        <v>1</v>
      </c>
      <c r="S240" s="264">
        <v>0</v>
      </c>
      <c r="T240" s="265"/>
      <c r="U240" s="266">
        <v>1</v>
      </c>
      <c r="W240" s="263" t="s">
        <v>32</v>
      </c>
      <c r="X240" s="264">
        <v>1</v>
      </c>
      <c r="Y240" s="267">
        <v>1</v>
      </c>
      <c r="Z240" s="264">
        <v>0</v>
      </c>
      <c r="AA240" s="265"/>
      <c r="AB240" s="266">
        <v>2</v>
      </c>
      <c r="AD240" s="260"/>
      <c r="AE240" s="261">
        <v>1</v>
      </c>
      <c r="AF240" s="261"/>
      <c r="AG240" s="261"/>
      <c r="AH240" s="268"/>
      <c r="AI240" s="262"/>
      <c r="AK240" s="56" t="s">
        <v>32</v>
      </c>
      <c r="AL240" s="57">
        <v>3</v>
      </c>
      <c r="AM240" s="58">
        <v>9</v>
      </c>
      <c r="AN240" s="50">
        <f>SUM(AL240,AM240)</f>
        <v>12</v>
      </c>
      <c r="AO240" s="59">
        <f>AN240/AN241*100</f>
        <v>23.52941176470588</v>
      </c>
    </row>
    <row r="241" spans="2:41" x14ac:dyDescent="0.25">
      <c r="B241" s="269"/>
      <c r="C241" s="264">
        <v>2</v>
      </c>
      <c r="D241" s="264">
        <v>0</v>
      </c>
      <c r="E241" s="270">
        <v>2</v>
      </c>
      <c r="F241" s="95" t="s">
        <v>155</v>
      </c>
      <c r="G241" s="271"/>
      <c r="I241" s="269"/>
      <c r="J241" s="264">
        <v>2</v>
      </c>
      <c r="K241" s="264">
        <v>0</v>
      </c>
      <c r="L241" s="272">
        <v>0</v>
      </c>
      <c r="M241" s="95"/>
      <c r="N241" s="271"/>
      <c r="P241" s="269"/>
      <c r="Q241" s="264">
        <v>2</v>
      </c>
      <c r="R241" s="264">
        <v>0</v>
      </c>
      <c r="S241" s="272">
        <v>0</v>
      </c>
      <c r="T241" s="95"/>
      <c r="U241" s="271"/>
      <c r="W241" s="269"/>
      <c r="X241" s="264">
        <v>2</v>
      </c>
      <c r="Y241" s="267">
        <v>1</v>
      </c>
      <c r="Z241" s="272">
        <v>0</v>
      </c>
      <c r="AA241" s="95"/>
      <c r="AB241" s="271"/>
      <c r="AD241" s="260"/>
      <c r="AE241" s="261">
        <v>2</v>
      </c>
      <c r="AF241" s="261"/>
      <c r="AG241" s="273">
        <v>1</v>
      </c>
      <c r="AH241" s="152" t="s">
        <v>156</v>
      </c>
      <c r="AI241" s="262"/>
      <c r="AK241" s="56" t="s">
        <v>27</v>
      </c>
      <c r="AL241" s="64">
        <f>SUM(AL238:AL240)</f>
        <v>27</v>
      </c>
      <c r="AM241" s="64">
        <f>SUM(AM238:AM240)</f>
        <v>24</v>
      </c>
      <c r="AN241" s="50">
        <f>SUM(AL238:AM240)</f>
        <v>51</v>
      </c>
      <c r="AO241" s="59"/>
    </row>
    <row r="242" spans="2:41" ht="75" x14ac:dyDescent="0.25">
      <c r="B242" s="274"/>
      <c r="C242" s="275" t="s">
        <v>157</v>
      </c>
      <c r="D242" s="275">
        <v>0</v>
      </c>
      <c r="E242" s="276">
        <v>6</v>
      </c>
      <c r="F242" s="105" t="s">
        <v>158</v>
      </c>
      <c r="G242" s="277"/>
      <c r="I242" s="274"/>
      <c r="J242" s="275" t="s">
        <v>157</v>
      </c>
      <c r="K242" s="275">
        <v>0</v>
      </c>
      <c r="L242" s="276">
        <v>1</v>
      </c>
      <c r="M242" s="105" t="s">
        <v>159</v>
      </c>
      <c r="N242" s="277"/>
      <c r="P242" s="274"/>
      <c r="Q242" s="275" t="s">
        <v>157</v>
      </c>
      <c r="R242" s="275">
        <v>0</v>
      </c>
      <c r="S242" s="278">
        <v>0</v>
      </c>
      <c r="T242" s="105"/>
      <c r="U242" s="277"/>
      <c r="W242" s="274"/>
      <c r="X242" s="275" t="s">
        <v>157</v>
      </c>
      <c r="Y242" s="275">
        <v>0</v>
      </c>
      <c r="Z242" s="278">
        <v>0</v>
      </c>
      <c r="AA242" s="105"/>
      <c r="AB242" s="277"/>
      <c r="AD242" s="279"/>
      <c r="AE242" s="280" t="s">
        <v>157</v>
      </c>
      <c r="AF242" s="280"/>
      <c r="AG242" s="281">
        <v>1</v>
      </c>
      <c r="AH242" s="282" t="s">
        <v>156</v>
      </c>
      <c r="AI242" s="283"/>
      <c r="AK242" s="56" t="s">
        <v>28</v>
      </c>
      <c r="AL242" s="64">
        <f>AL241/AN241*100</f>
        <v>52.941176470588239</v>
      </c>
      <c r="AM242" s="59">
        <f>AM241/AN241*100</f>
        <v>47.058823529411761</v>
      </c>
      <c r="AN242" s="59"/>
      <c r="AO242" s="59"/>
    </row>
    <row r="243" spans="2:41" ht="15.75" thickBot="1" x14ac:dyDescent="0.3">
      <c r="B243" s="284"/>
      <c r="C243" s="285"/>
      <c r="D243" s="285">
        <v>0</v>
      </c>
      <c r="E243" s="285">
        <v>23</v>
      </c>
      <c r="F243" s="286"/>
      <c r="G243" s="287">
        <v>23</v>
      </c>
      <c r="H243" s="242"/>
      <c r="I243" s="284"/>
      <c r="J243" s="285"/>
      <c r="K243" s="285">
        <v>11</v>
      </c>
      <c r="L243" s="285">
        <v>1</v>
      </c>
      <c r="M243" s="286"/>
      <c r="N243" s="287">
        <v>12</v>
      </c>
      <c r="O243" s="288"/>
      <c r="P243" s="284"/>
      <c r="Q243" s="285"/>
      <c r="R243" s="285">
        <v>9</v>
      </c>
      <c r="S243" s="285">
        <v>0</v>
      </c>
      <c r="T243" s="286"/>
      <c r="U243" s="287">
        <v>9</v>
      </c>
      <c r="W243" s="284"/>
      <c r="X243" s="285"/>
      <c r="Y243" s="285">
        <v>7</v>
      </c>
      <c r="Z243" s="285">
        <v>0</v>
      </c>
      <c r="AA243" s="286"/>
      <c r="AB243" s="287">
        <v>7</v>
      </c>
      <c r="AD243" s="289"/>
      <c r="AE243" s="290"/>
      <c r="AF243" s="290"/>
      <c r="AG243" s="290"/>
      <c r="AH243" s="291"/>
      <c r="AI243" s="292"/>
    </row>
    <row r="244" spans="2:41" x14ac:dyDescent="0.25">
      <c r="B244" s="6"/>
      <c r="C244" s="6"/>
      <c r="D244" s="6"/>
      <c r="E244" s="6"/>
      <c r="F244" s="6"/>
      <c r="G244" s="6"/>
      <c r="I244" s="6"/>
      <c r="J244" s="6"/>
      <c r="K244" s="6"/>
      <c r="L244" s="6"/>
      <c r="M244" s="6"/>
      <c r="N244" s="6"/>
      <c r="P244" s="6"/>
      <c r="Q244" s="6"/>
      <c r="R244" s="6"/>
      <c r="S244" s="6"/>
      <c r="T244" s="6"/>
      <c r="U244" s="6"/>
      <c r="W244" s="6"/>
      <c r="X244" s="6"/>
      <c r="Y244" s="6"/>
      <c r="Z244" s="6"/>
      <c r="AA244" s="6"/>
      <c r="AB244" s="6"/>
      <c r="AD244" s="5"/>
      <c r="AE244" s="5"/>
      <c r="AF244" s="5"/>
      <c r="AG244" s="5"/>
      <c r="AH244" s="5"/>
      <c r="AI244" s="5"/>
    </row>
    <row r="245" spans="2:41" ht="19.5" thickBot="1" x14ac:dyDescent="0.35">
      <c r="B245" s="15" t="s">
        <v>160</v>
      </c>
      <c r="C245" s="16"/>
      <c r="D245" s="12"/>
      <c r="E245" s="15"/>
      <c r="F245" s="15"/>
      <c r="G245" s="15"/>
      <c r="I245" s="15" t="s">
        <v>160</v>
      </c>
      <c r="J245" s="16"/>
      <c r="K245" s="15"/>
      <c r="L245" s="12"/>
      <c r="M245" s="15"/>
      <c r="N245" s="15"/>
      <c r="P245" s="15" t="s">
        <v>160</v>
      </c>
      <c r="Q245" s="16"/>
      <c r="R245" s="15"/>
      <c r="S245" s="12"/>
      <c r="T245" s="15"/>
      <c r="U245" s="15"/>
      <c r="W245" s="15" t="s">
        <v>160</v>
      </c>
      <c r="X245" s="16"/>
      <c r="Y245" s="15"/>
      <c r="Z245" s="12"/>
      <c r="AA245" s="15"/>
      <c r="AB245" s="15"/>
      <c r="AD245" s="139" t="s">
        <v>161</v>
      </c>
      <c r="AE245" s="141"/>
      <c r="AF245" s="139"/>
      <c r="AG245" s="12"/>
      <c r="AH245" s="139"/>
      <c r="AI245" s="139"/>
      <c r="AK245" s="9" t="s">
        <v>162</v>
      </c>
    </row>
    <row r="246" spans="2:41" ht="30" x14ac:dyDescent="0.25">
      <c r="B246" s="20" t="s">
        <v>22</v>
      </c>
      <c r="C246" s="21" t="s">
        <v>23</v>
      </c>
      <c r="D246" s="21" t="s">
        <v>24</v>
      </c>
      <c r="E246" s="21" t="s">
        <v>25</v>
      </c>
      <c r="F246" s="22" t="s">
        <v>26</v>
      </c>
      <c r="G246" s="23" t="s">
        <v>27</v>
      </c>
      <c r="I246" s="20" t="s">
        <v>22</v>
      </c>
      <c r="J246" s="21" t="s">
        <v>23</v>
      </c>
      <c r="K246" s="21" t="s">
        <v>24</v>
      </c>
      <c r="L246" s="21" t="s">
        <v>25</v>
      </c>
      <c r="M246" s="22" t="s">
        <v>26</v>
      </c>
      <c r="N246" s="23" t="s">
        <v>27</v>
      </c>
      <c r="P246" s="20" t="s">
        <v>22</v>
      </c>
      <c r="Q246" s="21" t="s">
        <v>23</v>
      </c>
      <c r="R246" s="21" t="s">
        <v>24</v>
      </c>
      <c r="S246" s="21" t="s">
        <v>25</v>
      </c>
      <c r="T246" s="22" t="s">
        <v>26</v>
      </c>
      <c r="U246" s="23" t="s">
        <v>27</v>
      </c>
      <c r="W246" s="20" t="s">
        <v>22</v>
      </c>
      <c r="X246" s="21" t="s">
        <v>23</v>
      </c>
      <c r="Y246" s="21" t="s">
        <v>24</v>
      </c>
      <c r="Z246" s="21" t="s">
        <v>25</v>
      </c>
      <c r="AA246" s="22" t="s">
        <v>26</v>
      </c>
      <c r="AB246" s="23" t="s">
        <v>27</v>
      </c>
      <c r="AD246" s="20" t="s">
        <v>22</v>
      </c>
      <c r="AE246" s="21" t="s">
        <v>23</v>
      </c>
      <c r="AF246" s="21" t="s">
        <v>24</v>
      </c>
      <c r="AG246" s="21" t="s">
        <v>25</v>
      </c>
      <c r="AH246" s="22" t="s">
        <v>26</v>
      </c>
      <c r="AI246" s="23" t="s">
        <v>27</v>
      </c>
      <c r="AK246" s="25"/>
      <c r="AL246" s="26" t="s">
        <v>24</v>
      </c>
      <c r="AM246" s="27" t="s">
        <v>25</v>
      </c>
      <c r="AN246" s="27" t="s">
        <v>27</v>
      </c>
      <c r="AO246" s="28" t="s">
        <v>28</v>
      </c>
    </row>
    <row r="247" spans="2:41" ht="60" x14ac:dyDescent="0.25">
      <c r="B247" s="243" t="s">
        <v>29</v>
      </c>
      <c r="C247" s="244" t="s">
        <v>30</v>
      </c>
      <c r="D247" s="244">
        <v>0</v>
      </c>
      <c r="E247" s="245">
        <v>15</v>
      </c>
      <c r="F247" s="246" t="s">
        <v>153</v>
      </c>
      <c r="G247" s="247">
        <v>15</v>
      </c>
      <c r="I247" s="243" t="s">
        <v>29</v>
      </c>
      <c r="J247" s="244" t="s">
        <v>30</v>
      </c>
      <c r="K247" s="248">
        <v>11</v>
      </c>
      <c r="L247" s="249">
        <v>0</v>
      </c>
      <c r="M247" s="246"/>
      <c r="N247" s="247">
        <v>11</v>
      </c>
      <c r="P247" s="243" t="s">
        <v>29</v>
      </c>
      <c r="Q247" s="244" t="s">
        <v>30</v>
      </c>
      <c r="R247" s="248">
        <v>9</v>
      </c>
      <c r="S247" s="249">
        <v>0</v>
      </c>
      <c r="T247" s="246"/>
      <c r="U247" s="247">
        <v>9</v>
      </c>
      <c r="W247" s="243" t="s">
        <v>29</v>
      </c>
      <c r="X247" s="244" t="s">
        <v>30</v>
      </c>
      <c r="Y247" s="248">
        <v>4</v>
      </c>
      <c r="Z247" s="249">
        <v>0</v>
      </c>
      <c r="AA247" s="246"/>
      <c r="AB247" s="247">
        <v>4</v>
      </c>
      <c r="AD247" s="250"/>
      <c r="AE247" s="251" t="s">
        <v>30</v>
      </c>
      <c r="AF247" s="251">
        <v>1</v>
      </c>
      <c r="AG247" s="252">
        <v>1</v>
      </c>
      <c r="AH247" s="253" t="s">
        <v>154</v>
      </c>
      <c r="AI247" s="254"/>
      <c r="AK247" s="38" t="s">
        <v>29</v>
      </c>
      <c r="AL247" s="39">
        <v>24</v>
      </c>
      <c r="AM247" s="40">
        <v>15</v>
      </c>
      <c r="AN247" s="32">
        <f>SUM(AL247,AM247)</f>
        <v>39</v>
      </c>
      <c r="AO247" s="41">
        <f>AN247/AN250*100</f>
        <v>76.470588235294116</v>
      </c>
    </row>
    <row r="248" spans="2:41" x14ac:dyDescent="0.25">
      <c r="B248" s="255" t="s">
        <v>31</v>
      </c>
      <c r="C248" s="256">
        <v>0.5</v>
      </c>
      <c r="D248" s="256">
        <v>0</v>
      </c>
      <c r="E248" s="256">
        <v>0</v>
      </c>
      <c r="F248" s="257"/>
      <c r="G248" s="258">
        <v>0</v>
      </c>
      <c r="I248" s="255" t="s">
        <v>31</v>
      </c>
      <c r="J248" s="256">
        <v>0.5</v>
      </c>
      <c r="K248" s="256">
        <v>0</v>
      </c>
      <c r="L248" s="256">
        <v>0</v>
      </c>
      <c r="M248" s="257"/>
      <c r="N248" s="258">
        <v>0</v>
      </c>
      <c r="P248" s="255" t="s">
        <v>31</v>
      </c>
      <c r="Q248" s="256">
        <v>0.5</v>
      </c>
      <c r="R248" s="256">
        <v>0</v>
      </c>
      <c r="S248" s="256">
        <v>0</v>
      </c>
      <c r="T248" s="257"/>
      <c r="U248" s="258">
        <v>0</v>
      </c>
      <c r="W248" s="255" t="s">
        <v>31</v>
      </c>
      <c r="X248" s="256">
        <v>0.5</v>
      </c>
      <c r="Y248" s="259">
        <v>1</v>
      </c>
      <c r="Z248" s="256">
        <v>0</v>
      </c>
      <c r="AA248" s="257"/>
      <c r="AB248" s="258">
        <v>1</v>
      </c>
      <c r="AD248" s="260"/>
      <c r="AE248" s="261">
        <v>0.5</v>
      </c>
      <c r="AF248" s="261"/>
      <c r="AG248" s="261"/>
      <c r="AH248" s="261"/>
      <c r="AI248" s="262"/>
      <c r="AK248" s="38" t="s">
        <v>31</v>
      </c>
      <c r="AL248" s="2">
        <v>1</v>
      </c>
      <c r="AM248" s="40">
        <v>0</v>
      </c>
      <c r="AN248" s="32">
        <f>SUM(AL248,AM248)</f>
        <v>1</v>
      </c>
      <c r="AO248" s="41">
        <f>AN248/AN250*100</f>
        <v>1.9607843137254901</v>
      </c>
    </row>
    <row r="249" spans="2:41" ht="30" customHeight="1" x14ac:dyDescent="0.25">
      <c r="B249" s="263" t="s">
        <v>32</v>
      </c>
      <c r="C249" s="264">
        <v>1</v>
      </c>
      <c r="D249" s="264">
        <v>0</v>
      </c>
      <c r="E249" s="264">
        <v>0</v>
      </c>
      <c r="F249" s="265"/>
      <c r="G249" s="266">
        <v>8</v>
      </c>
      <c r="I249" s="263" t="s">
        <v>32</v>
      </c>
      <c r="J249" s="264">
        <v>1</v>
      </c>
      <c r="K249" s="264">
        <v>0</v>
      </c>
      <c r="L249" s="264">
        <v>0</v>
      </c>
      <c r="M249" s="265"/>
      <c r="N249" s="266">
        <v>1</v>
      </c>
      <c r="P249" s="263" t="s">
        <v>32</v>
      </c>
      <c r="Q249" s="264">
        <v>1</v>
      </c>
      <c r="R249" s="264">
        <v>0</v>
      </c>
      <c r="S249" s="264">
        <v>0</v>
      </c>
      <c r="T249" s="265"/>
      <c r="U249" s="266">
        <v>0</v>
      </c>
      <c r="W249" s="263" t="s">
        <v>32</v>
      </c>
      <c r="X249" s="264">
        <v>1</v>
      </c>
      <c r="Y249" s="267">
        <v>2</v>
      </c>
      <c r="Z249" s="264">
        <v>0</v>
      </c>
      <c r="AA249" s="265"/>
      <c r="AB249" s="266">
        <v>2</v>
      </c>
      <c r="AD249" s="260"/>
      <c r="AE249" s="261">
        <v>1</v>
      </c>
      <c r="AF249" s="261"/>
      <c r="AG249" s="261">
        <v>1</v>
      </c>
      <c r="AH249" s="268" t="s">
        <v>156</v>
      </c>
      <c r="AI249" s="262"/>
      <c r="AK249" s="56" t="s">
        <v>32</v>
      </c>
      <c r="AL249" s="57">
        <v>2</v>
      </c>
      <c r="AM249" s="58">
        <v>9</v>
      </c>
      <c r="AN249" s="50">
        <f>SUM(AL249,AM249)</f>
        <v>11</v>
      </c>
      <c r="AO249" s="59">
        <f>AN249/AN250*100</f>
        <v>21.568627450980394</v>
      </c>
    </row>
    <row r="250" spans="2:41" x14ac:dyDescent="0.25">
      <c r="B250" s="269"/>
      <c r="C250" s="264">
        <v>2</v>
      </c>
      <c r="D250" s="264">
        <v>0</v>
      </c>
      <c r="E250" s="272">
        <v>0</v>
      </c>
      <c r="F250" s="95"/>
      <c r="G250" s="271"/>
      <c r="I250" s="269"/>
      <c r="J250" s="264">
        <v>2</v>
      </c>
      <c r="K250" s="264">
        <v>0</v>
      </c>
      <c r="L250" s="272">
        <v>0</v>
      </c>
      <c r="M250" s="95"/>
      <c r="N250" s="271"/>
      <c r="P250" s="269"/>
      <c r="Q250" s="264">
        <v>2</v>
      </c>
      <c r="R250" s="264">
        <v>0</v>
      </c>
      <c r="S250" s="272">
        <v>0</v>
      </c>
      <c r="T250" s="95"/>
      <c r="U250" s="271"/>
      <c r="W250" s="269"/>
      <c r="X250" s="264">
        <v>2</v>
      </c>
      <c r="Y250" s="264">
        <v>0</v>
      </c>
      <c r="Z250" s="272">
        <v>0</v>
      </c>
      <c r="AA250" s="95"/>
      <c r="AB250" s="271"/>
      <c r="AD250" s="260"/>
      <c r="AE250" s="261">
        <v>2</v>
      </c>
      <c r="AF250" s="261"/>
      <c r="AG250" s="273"/>
      <c r="AH250" s="152"/>
      <c r="AI250" s="262"/>
      <c r="AK250" s="56" t="s">
        <v>27</v>
      </c>
      <c r="AL250" s="64">
        <f>SUM(AL247:AL249)</f>
        <v>27</v>
      </c>
      <c r="AM250" s="64">
        <f>SUM(AM247:AM249)</f>
        <v>24</v>
      </c>
      <c r="AN250" s="50">
        <f>SUM(AL247:AM249)</f>
        <v>51</v>
      </c>
      <c r="AO250" s="59"/>
    </row>
    <row r="251" spans="2:41" ht="75" x14ac:dyDescent="0.25">
      <c r="B251" s="274"/>
      <c r="C251" s="275" t="s">
        <v>157</v>
      </c>
      <c r="D251" s="275">
        <v>0</v>
      </c>
      <c r="E251" s="276">
        <v>8</v>
      </c>
      <c r="F251" s="105" t="s">
        <v>163</v>
      </c>
      <c r="G251" s="277"/>
      <c r="I251" s="274"/>
      <c r="J251" s="275" t="s">
        <v>157</v>
      </c>
      <c r="K251" s="293">
        <v>0</v>
      </c>
      <c r="L251" s="276">
        <v>1</v>
      </c>
      <c r="M251" s="294" t="s">
        <v>159</v>
      </c>
      <c r="N251" s="277"/>
      <c r="P251" s="274"/>
      <c r="Q251" s="275" t="s">
        <v>157</v>
      </c>
      <c r="R251" s="275">
        <v>0</v>
      </c>
      <c r="S251" s="278">
        <v>0</v>
      </c>
      <c r="T251" s="105"/>
      <c r="U251" s="277"/>
      <c r="W251" s="274"/>
      <c r="X251" s="275" t="s">
        <v>157</v>
      </c>
      <c r="Y251" s="275">
        <v>0</v>
      </c>
      <c r="Z251" s="278">
        <v>0</v>
      </c>
      <c r="AA251" s="105"/>
      <c r="AB251" s="277"/>
      <c r="AD251" s="279"/>
      <c r="AE251" s="280" t="s">
        <v>157</v>
      </c>
      <c r="AF251" s="280"/>
      <c r="AG251" s="281">
        <v>1</v>
      </c>
      <c r="AH251" s="282" t="s">
        <v>156</v>
      </c>
      <c r="AI251" s="283"/>
      <c r="AK251" s="56" t="s">
        <v>28</v>
      </c>
      <c r="AL251" s="64">
        <f>AL250/AN250*100</f>
        <v>52.941176470588239</v>
      </c>
      <c r="AM251" s="59">
        <f>AM250/AN250*100</f>
        <v>47.058823529411761</v>
      </c>
      <c r="AN251" s="59"/>
      <c r="AO251" s="59"/>
    </row>
    <row r="252" spans="2:41" ht="15.75" thickBot="1" x14ac:dyDescent="0.3">
      <c r="B252" s="284"/>
      <c r="C252" s="285"/>
      <c r="D252" s="285">
        <v>0</v>
      </c>
      <c r="E252" s="285">
        <v>23</v>
      </c>
      <c r="F252" s="286"/>
      <c r="G252" s="287">
        <v>23</v>
      </c>
      <c r="I252" s="284"/>
      <c r="J252" s="285"/>
      <c r="K252" s="285">
        <v>11</v>
      </c>
      <c r="L252" s="285">
        <v>1</v>
      </c>
      <c r="M252" s="286"/>
      <c r="N252" s="287">
        <v>12</v>
      </c>
      <c r="P252" s="284"/>
      <c r="Q252" s="285"/>
      <c r="R252" s="285">
        <v>9</v>
      </c>
      <c r="S252" s="285">
        <v>0</v>
      </c>
      <c r="T252" s="286"/>
      <c r="U252" s="287">
        <v>9</v>
      </c>
      <c r="W252" s="284"/>
      <c r="X252" s="285"/>
      <c r="Y252" s="285">
        <v>7</v>
      </c>
      <c r="Z252" s="285">
        <v>0</v>
      </c>
      <c r="AA252" s="286"/>
      <c r="AB252" s="287">
        <v>7</v>
      </c>
      <c r="AD252" s="289"/>
      <c r="AE252" s="290"/>
      <c r="AF252" s="290"/>
      <c r="AG252" s="290"/>
      <c r="AH252" s="291"/>
      <c r="AI252" s="292"/>
    </row>
    <row r="253" spans="2:41" x14ac:dyDescent="0.25">
      <c r="B253" s="6"/>
      <c r="C253" s="6"/>
      <c r="D253" s="6"/>
      <c r="E253" s="6"/>
      <c r="F253" s="6"/>
      <c r="G253" s="6"/>
      <c r="I253" s="6"/>
      <c r="J253" s="6"/>
      <c r="K253" s="6"/>
      <c r="L253" s="6"/>
      <c r="M253" s="6"/>
      <c r="N253" s="6"/>
      <c r="P253" s="6"/>
      <c r="Q253" s="6"/>
      <c r="R253" s="6"/>
      <c r="S253" s="6"/>
      <c r="T253" s="6"/>
      <c r="U253" s="6"/>
      <c r="W253" s="6"/>
      <c r="X253" s="6"/>
      <c r="Y253" s="6"/>
      <c r="Z253" s="6"/>
      <c r="AA253" s="6"/>
      <c r="AB253" s="6"/>
      <c r="AD253" s="6"/>
      <c r="AE253" s="6"/>
      <c r="AF253" s="6"/>
      <c r="AG253" s="6"/>
      <c r="AH253" s="6"/>
      <c r="AI253" s="6"/>
    </row>
    <row r="254" spans="2:41" ht="19.5" thickBot="1" x14ac:dyDescent="0.35">
      <c r="B254" s="15" t="s">
        <v>164</v>
      </c>
      <c r="C254" s="16"/>
      <c r="D254" s="12"/>
      <c r="E254" s="15"/>
      <c r="F254" s="15"/>
      <c r="G254" s="15"/>
      <c r="H254" s="9"/>
      <c r="I254" s="15" t="s">
        <v>164</v>
      </c>
      <c r="J254" s="16"/>
      <c r="K254" s="15"/>
      <c r="L254" s="12"/>
      <c r="M254" s="15"/>
      <c r="N254" s="15"/>
      <c r="O254" s="9"/>
      <c r="P254" s="15" t="s">
        <v>164</v>
      </c>
      <c r="Q254" s="16"/>
      <c r="R254" s="15"/>
      <c r="S254" s="12"/>
      <c r="T254" s="15"/>
      <c r="U254" s="15"/>
      <c r="W254" s="15" t="s">
        <v>164</v>
      </c>
      <c r="X254" s="16"/>
      <c r="Y254" s="15"/>
      <c r="Z254" s="12"/>
      <c r="AA254" s="15"/>
      <c r="AB254" s="15"/>
      <c r="AD254" s="15" t="s">
        <v>164</v>
      </c>
      <c r="AE254" s="16"/>
      <c r="AF254" s="15"/>
      <c r="AG254" s="12"/>
      <c r="AH254" s="15"/>
      <c r="AI254" s="15"/>
      <c r="AK254" s="9" t="s">
        <v>165</v>
      </c>
    </row>
    <row r="255" spans="2:41" ht="30" x14ac:dyDescent="0.25">
      <c r="B255" s="20" t="s">
        <v>22</v>
      </c>
      <c r="C255" s="21" t="s">
        <v>23</v>
      </c>
      <c r="D255" s="21" t="s">
        <v>24</v>
      </c>
      <c r="E255" s="21" t="s">
        <v>25</v>
      </c>
      <c r="F255" s="22" t="s">
        <v>26</v>
      </c>
      <c r="G255" s="23" t="s">
        <v>27</v>
      </c>
      <c r="H255" s="242"/>
      <c r="I255" s="20" t="s">
        <v>22</v>
      </c>
      <c r="J255" s="21" t="s">
        <v>23</v>
      </c>
      <c r="K255" s="21" t="s">
        <v>24</v>
      </c>
      <c r="L255" s="21" t="s">
        <v>25</v>
      </c>
      <c r="M255" s="22" t="s">
        <v>26</v>
      </c>
      <c r="N255" s="23" t="s">
        <v>27</v>
      </c>
      <c r="O255" s="242"/>
      <c r="P255" s="20" t="s">
        <v>22</v>
      </c>
      <c r="Q255" s="21" t="s">
        <v>23</v>
      </c>
      <c r="R255" s="21" t="s">
        <v>24</v>
      </c>
      <c r="S255" s="21" t="s">
        <v>25</v>
      </c>
      <c r="T255" s="22" t="s">
        <v>26</v>
      </c>
      <c r="U255" s="23" t="s">
        <v>27</v>
      </c>
      <c r="W255" s="20" t="s">
        <v>22</v>
      </c>
      <c r="X255" s="21" t="s">
        <v>23</v>
      </c>
      <c r="Y255" s="21" t="s">
        <v>24</v>
      </c>
      <c r="Z255" s="21" t="s">
        <v>25</v>
      </c>
      <c r="AA255" s="22" t="s">
        <v>26</v>
      </c>
      <c r="AB255" s="23" t="s">
        <v>27</v>
      </c>
      <c r="AD255" s="20" t="s">
        <v>22</v>
      </c>
      <c r="AE255" s="21" t="s">
        <v>23</v>
      </c>
      <c r="AF255" s="21" t="s">
        <v>24</v>
      </c>
      <c r="AG255" s="21" t="s">
        <v>25</v>
      </c>
      <c r="AH255" s="22" t="s">
        <v>26</v>
      </c>
      <c r="AI255" s="23" t="s">
        <v>27</v>
      </c>
      <c r="AK255" s="25"/>
      <c r="AL255" s="26" t="s">
        <v>24</v>
      </c>
      <c r="AM255" s="27" t="s">
        <v>25</v>
      </c>
      <c r="AN255" s="27" t="s">
        <v>27</v>
      </c>
      <c r="AO255" s="28" t="s">
        <v>28</v>
      </c>
    </row>
    <row r="256" spans="2:41" x14ac:dyDescent="0.25">
      <c r="B256" s="295" t="s">
        <v>29</v>
      </c>
      <c r="C256" s="264" t="s">
        <v>39</v>
      </c>
      <c r="D256" s="270">
        <v>17</v>
      </c>
      <c r="E256" s="267">
        <v>2</v>
      </c>
      <c r="F256" s="296" t="s">
        <v>166</v>
      </c>
      <c r="G256" s="297">
        <v>19</v>
      </c>
      <c r="I256" s="295" t="s">
        <v>29</v>
      </c>
      <c r="J256" s="264" t="s">
        <v>39</v>
      </c>
      <c r="K256" s="270">
        <v>11</v>
      </c>
      <c r="L256" s="298">
        <v>0</v>
      </c>
      <c r="M256" s="296"/>
      <c r="N256" s="297">
        <v>11</v>
      </c>
      <c r="P256" s="295" t="s">
        <v>29</v>
      </c>
      <c r="Q256" s="264" t="s">
        <v>39</v>
      </c>
      <c r="R256" s="270">
        <v>7</v>
      </c>
      <c r="S256" s="267">
        <v>1</v>
      </c>
      <c r="T256" s="296" t="s">
        <v>167</v>
      </c>
      <c r="U256" s="297">
        <v>9</v>
      </c>
      <c r="W256" s="295" t="s">
        <v>29</v>
      </c>
      <c r="X256" s="264" t="s">
        <v>39</v>
      </c>
      <c r="Y256" s="270">
        <v>6</v>
      </c>
      <c r="Z256" s="298">
        <v>0</v>
      </c>
      <c r="AA256" s="296"/>
      <c r="AB256" s="297">
        <v>7</v>
      </c>
      <c r="AD256" s="295" t="s">
        <v>29</v>
      </c>
      <c r="AE256" s="264" t="s">
        <v>39</v>
      </c>
      <c r="AF256" s="270">
        <v>3</v>
      </c>
      <c r="AG256" s="298">
        <v>0</v>
      </c>
      <c r="AH256" s="296"/>
      <c r="AI256" s="297">
        <v>4</v>
      </c>
      <c r="AK256" s="38" t="s">
        <v>29</v>
      </c>
      <c r="AL256" s="39">
        <v>47</v>
      </c>
      <c r="AM256" s="40">
        <v>3</v>
      </c>
      <c r="AN256" s="32">
        <f>SUM(AL256,AM256)</f>
        <v>50</v>
      </c>
      <c r="AO256" s="41">
        <f>AN256/AN258*100</f>
        <v>90.909090909090907</v>
      </c>
    </row>
    <row r="257" spans="2:41" x14ac:dyDescent="0.25">
      <c r="B257" s="295"/>
      <c r="C257" s="264">
        <v>0.25</v>
      </c>
      <c r="D257" s="264">
        <v>0</v>
      </c>
      <c r="E257" s="264">
        <v>0</v>
      </c>
      <c r="F257" s="265"/>
      <c r="G257" s="297"/>
      <c r="I257" s="295"/>
      <c r="J257" s="264">
        <v>0.25</v>
      </c>
      <c r="K257" s="264">
        <v>0</v>
      </c>
      <c r="L257" s="264">
        <v>0</v>
      </c>
      <c r="M257" s="265"/>
      <c r="N257" s="297"/>
      <c r="P257" s="295"/>
      <c r="Q257" s="264">
        <v>0.25</v>
      </c>
      <c r="R257" s="270">
        <v>1</v>
      </c>
      <c r="S257" s="264">
        <v>0</v>
      </c>
      <c r="T257" s="265"/>
      <c r="U257" s="297"/>
      <c r="W257" s="295"/>
      <c r="X257" s="264">
        <v>0.25</v>
      </c>
      <c r="Y257" s="264">
        <v>0</v>
      </c>
      <c r="Z257" s="264">
        <v>0</v>
      </c>
      <c r="AA257" s="265"/>
      <c r="AB257" s="297"/>
      <c r="AD257" s="295"/>
      <c r="AE257" s="264">
        <v>0.25</v>
      </c>
      <c r="AF257" s="264">
        <v>0</v>
      </c>
      <c r="AG257" s="264">
        <v>0</v>
      </c>
      <c r="AH257" s="265"/>
      <c r="AI257" s="297"/>
      <c r="AK257" s="56" t="s">
        <v>32</v>
      </c>
      <c r="AL257" s="57">
        <v>0</v>
      </c>
      <c r="AM257" s="58">
        <v>5</v>
      </c>
      <c r="AN257" s="50">
        <f>SUM(AL257,AM257)</f>
        <v>5</v>
      </c>
      <c r="AO257" s="59">
        <f>AN257/AN258*100</f>
        <v>9.0909090909090917</v>
      </c>
    </row>
    <row r="258" spans="2:41" x14ac:dyDescent="0.25">
      <c r="B258" s="299"/>
      <c r="C258" s="256">
        <v>0.5</v>
      </c>
      <c r="D258" s="300">
        <v>0</v>
      </c>
      <c r="E258" s="256">
        <v>0</v>
      </c>
      <c r="F258" s="257"/>
      <c r="G258" s="301"/>
      <c r="I258" s="299"/>
      <c r="J258" s="256">
        <v>0.5</v>
      </c>
      <c r="K258" s="300">
        <v>0</v>
      </c>
      <c r="L258" s="256">
        <v>0</v>
      </c>
      <c r="M258" s="257"/>
      <c r="N258" s="301"/>
      <c r="P258" s="299"/>
      <c r="Q258" s="256">
        <v>0.5</v>
      </c>
      <c r="R258" s="300">
        <v>0</v>
      </c>
      <c r="S258" s="256">
        <v>0</v>
      </c>
      <c r="T258" s="257"/>
      <c r="U258" s="301"/>
      <c r="W258" s="299"/>
      <c r="X258" s="256">
        <v>0.5</v>
      </c>
      <c r="Y258" s="259">
        <v>1</v>
      </c>
      <c r="Z258" s="256">
        <v>0</v>
      </c>
      <c r="AA258" s="257"/>
      <c r="AB258" s="301"/>
      <c r="AD258" s="299"/>
      <c r="AE258" s="256">
        <v>0.5</v>
      </c>
      <c r="AF258" s="259">
        <v>1</v>
      </c>
      <c r="AG258" s="256">
        <v>0</v>
      </c>
      <c r="AH258" s="257"/>
      <c r="AI258" s="301"/>
      <c r="AK258" s="56" t="s">
        <v>27</v>
      </c>
      <c r="AL258" s="64">
        <f>SUM(AL256,AL257)</f>
        <v>47</v>
      </c>
      <c r="AM258" s="50">
        <f>SUM(AM256,AM257)</f>
        <v>8</v>
      </c>
      <c r="AN258" s="50">
        <f>SUM(AL256:AM257)</f>
        <v>55</v>
      </c>
      <c r="AO258" s="59"/>
    </row>
    <row r="259" spans="2:41" x14ac:dyDescent="0.25">
      <c r="B259" s="263" t="s">
        <v>32</v>
      </c>
      <c r="C259" s="264">
        <v>1</v>
      </c>
      <c r="D259" s="264">
        <v>0</v>
      </c>
      <c r="E259" s="264">
        <v>0</v>
      </c>
      <c r="F259" s="265"/>
      <c r="G259" s="302">
        <v>4</v>
      </c>
      <c r="I259" s="263" t="s">
        <v>32</v>
      </c>
      <c r="J259" s="264">
        <v>1</v>
      </c>
      <c r="K259" s="264">
        <v>0</v>
      </c>
      <c r="L259" s="264">
        <v>0</v>
      </c>
      <c r="M259" s="265"/>
      <c r="N259" s="302">
        <v>1</v>
      </c>
      <c r="P259" s="263" t="s">
        <v>32</v>
      </c>
      <c r="Q259" s="264">
        <v>1</v>
      </c>
      <c r="R259" s="264">
        <v>0</v>
      </c>
      <c r="S259" s="264">
        <v>0</v>
      </c>
      <c r="T259" s="265"/>
      <c r="U259" s="302">
        <v>0</v>
      </c>
      <c r="W259" s="263" t="s">
        <v>32</v>
      </c>
      <c r="X259" s="264">
        <v>1</v>
      </c>
      <c r="Y259" s="264">
        <v>0</v>
      </c>
      <c r="Z259" s="264">
        <v>0</v>
      </c>
      <c r="AA259" s="265"/>
      <c r="AB259" s="302">
        <v>0</v>
      </c>
      <c r="AD259" s="263" t="s">
        <v>32</v>
      </c>
      <c r="AE259" s="264">
        <v>1</v>
      </c>
      <c r="AF259" s="264">
        <v>0</v>
      </c>
      <c r="AG259" s="264">
        <v>0</v>
      </c>
      <c r="AH259" s="265"/>
      <c r="AI259" s="302">
        <v>0</v>
      </c>
      <c r="AK259" s="56" t="s">
        <v>28</v>
      </c>
      <c r="AL259" s="64">
        <f>AL258/AN258*100</f>
        <v>85.454545454545453</v>
      </c>
      <c r="AM259" s="59">
        <f>AM258/AN258*100</f>
        <v>14.545454545454545</v>
      </c>
      <c r="AN259" s="59"/>
      <c r="AO259" s="59"/>
    </row>
    <row r="260" spans="2:41" ht="30" x14ac:dyDescent="0.25">
      <c r="B260" s="274"/>
      <c r="C260" s="256" t="s">
        <v>42</v>
      </c>
      <c r="D260" s="256">
        <v>0</v>
      </c>
      <c r="E260" s="259">
        <v>4</v>
      </c>
      <c r="F260" s="294" t="s">
        <v>168</v>
      </c>
      <c r="G260" s="303"/>
      <c r="I260" s="274"/>
      <c r="J260" s="256" t="s">
        <v>42</v>
      </c>
      <c r="K260" s="256">
        <v>0</v>
      </c>
      <c r="L260" s="259">
        <v>1</v>
      </c>
      <c r="M260" s="294" t="s">
        <v>159</v>
      </c>
      <c r="N260" s="303"/>
      <c r="P260" s="274"/>
      <c r="Q260" s="256" t="s">
        <v>42</v>
      </c>
      <c r="R260" s="256">
        <v>0</v>
      </c>
      <c r="S260" s="300">
        <v>0</v>
      </c>
      <c r="T260" s="294"/>
      <c r="U260" s="303"/>
      <c r="W260" s="274"/>
      <c r="X260" s="256" t="s">
        <v>42</v>
      </c>
      <c r="Y260" s="256">
        <v>0</v>
      </c>
      <c r="Z260" s="300">
        <v>0</v>
      </c>
      <c r="AA260" s="294"/>
      <c r="AB260" s="303"/>
      <c r="AD260" s="274"/>
      <c r="AE260" s="256" t="s">
        <v>42</v>
      </c>
      <c r="AF260" s="256">
        <v>0</v>
      </c>
      <c r="AG260" s="300">
        <v>0</v>
      </c>
      <c r="AH260" s="294"/>
      <c r="AI260" s="303"/>
    </row>
    <row r="261" spans="2:41" ht="15.75" thickBot="1" x14ac:dyDescent="0.3">
      <c r="B261" s="284"/>
      <c r="C261" s="285"/>
      <c r="D261" s="285">
        <v>17</v>
      </c>
      <c r="E261" s="285">
        <v>6</v>
      </c>
      <c r="F261" s="286"/>
      <c r="G261" s="287">
        <v>23</v>
      </c>
      <c r="I261" s="284"/>
      <c r="J261" s="285"/>
      <c r="K261" s="285">
        <v>11</v>
      </c>
      <c r="L261" s="285">
        <v>1</v>
      </c>
      <c r="M261" s="286"/>
      <c r="N261" s="287">
        <v>12</v>
      </c>
      <c r="O261" s="78"/>
      <c r="P261" s="284"/>
      <c r="Q261" s="285"/>
      <c r="R261" s="285">
        <v>8</v>
      </c>
      <c r="S261" s="285">
        <v>1</v>
      </c>
      <c r="T261" s="286"/>
      <c r="U261" s="287">
        <v>9</v>
      </c>
      <c r="W261" s="284"/>
      <c r="X261" s="285"/>
      <c r="Y261" s="285">
        <v>7</v>
      </c>
      <c r="Z261" s="285">
        <v>0</v>
      </c>
      <c r="AA261" s="286"/>
      <c r="AB261" s="287">
        <v>7</v>
      </c>
      <c r="AD261" s="284"/>
      <c r="AE261" s="285"/>
      <c r="AF261" s="285">
        <v>4</v>
      </c>
      <c r="AG261" s="285">
        <v>0</v>
      </c>
      <c r="AH261" s="286"/>
      <c r="AI261" s="287">
        <v>4</v>
      </c>
    </row>
    <row r="262" spans="2:41" x14ac:dyDescent="0.25">
      <c r="B262" s="6"/>
      <c r="C262" s="6"/>
      <c r="D262" s="6"/>
      <c r="E262" s="6"/>
      <c r="F262" s="6"/>
      <c r="G262" s="6"/>
      <c r="I262" s="6"/>
      <c r="J262" s="6"/>
      <c r="K262" s="6"/>
      <c r="L262" s="6"/>
      <c r="M262" s="6"/>
      <c r="N262" s="6"/>
      <c r="P262" s="6"/>
      <c r="Q262" s="6"/>
      <c r="R262" s="6"/>
      <c r="S262" s="6"/>
      <c r="T262" s="6"/>
      <c r="U262" s="6"/>
      <c r="W262" s="6"/>
      <c r="X262" s="6"/>
      <c r="Y262" s="6"/>
      <c r="Z262" s="6"/>
      <c r="AA262" s="6"/>
      <c r="AB262" s="6"/>
      <c r="AD262" s="6"/>
      <c r="AE262" s="6"/>
      <c r="AF262" s="6"/>
      <c r="AG262" s="6"/>
      <c r="AH262" s="6"/>
      <c r="AI262" s="6"/>
    </row>
    <row r="263" spans="2:41" ht="19.5" thickBot="1" x14ac:dyDescent="0.35">
      <c r="B263" s="15" t="s">
        <v>44</v>
      </c>
      <c r="C263" s="16"/>
      <c r="D263" s="12"/>
      <c r="E263" s="15"/>
      <c r="F263" s="15"/>
      <c r="G263" s="18"/>
      <c r="I263" s="15" t="s">
        <v>44</v>
      </c>
      <c r="J263" s="16"/>
      <c r="K263" s="15"/>
      <c r="L263" s="12"/>
      <c r="M263" s="15"/>
      <c r="N263" s="18"/>
      <c r="P263" s="15" t="s">
        <v>44</v>
      </c>
      <c r="Q263" s="16"/>
      <c r="R263" s="15"/>
      <c r="S263" s="12"/>
      <c r="T263" s="15"/>
      <c r="U263" s="18"/>
      <c r="W263" s="15" t="s">
        <v>44</v>
      </c>
      <c r="X263" s="16"/>
      <c r="Y263" s="15"/>
      <c r="Z263" s="12"/>
      <c r="AA263" s="15"/>
      <c r="AB263" s="18"/>
      <c r="AD263" s="139" t="s">
        <v>169</v>
      </c>
      <c r="AE263" s="141"/>
      <c r="AF263" s="139"/>
      <c r="AG263" s="304"/>
      <c r="AH263" s="139"/>
      <c r="AI263" s="241"/>
      <c r="AK263" s="9" t="s">
        <v>170</v>
      </c>
    </row>
    <row r="264" spans="2:41" ht="30" x14ac:dyDescent="0.25">
      <c r="B264" s="20" t="s">
        <v>22</v>
      </c>
      <c r="C264" s="21" t="s">
        <v>23</v>
      </c>
      <c r="D264" s="21" t="s">
        <v>24</v>
      </c>
      <c r="E264" s="21" t="s">
        <v>25</v>
      </c>
      <c r="F264" s="22" t="s">
        <v>26</v>
      </c>
      <c r="G264" s="23" t="s">
        <v>27</v>
      </c>
      <c r="I264" s="20" t="s">
        <v>22</v>
      </c>
      <c r="J264" s="21" t="s">
        <v>23</v>
      </c>
      <c r="K264" s="21" t="s">
        <v>24</v>
      </c>
      <c r="L264" s="21" t="s">
        <v>25</v>
      </c>
      <c r="M264" s="22" t="s">
        <v>26</v>
      </c>
      <c r="N264" s="23" t="s">
        <v>27</v>
      </c>
      <c r="P264" s="20" t="s">
        <v>22</v>
      </c>
      <c r="Q264" s="21" t="s">
        <v>23</v>
      </c>
      <c r="R264" s="21" t="s">
        <v>24</v>
      </c>
      <c r="S264" s="21" t="s">
        <v>25</v>
      </c>
      <c r="T264" s="22" t="s">
        <v>26</v>
      </c>
      <c r="U264" s="23" t="s">
        <v>27</v>
      </c>
      <c r="W264" s="20" t="s">
        <v>22</v>
      </c>
      <c r="X264" s="21" t="s">
        <v>23</v>
      </c>
      <c r="Y264" s="21" t="s">
        <v>24</v>
      </c>
      <c r="Z264" s="21" t="s">
        <v>25</v>
      </c>
      <c r="AA264" s="22" t="s">
        <v>26</v>
      </c>
      <c r="AB264" s="23" t="s">
        <v>27</v>
      </c>
      <c r="AD264" s="305" t="s">
        <v>22</v>
      </c>
      <c r="AE264" s="306" t="s">
        <v>23</v>
      </c>
      <c r="AF264" s="306" t="s">
        <v>24</v>
      </c>
      <c r="AG264" s="306" t="s">
        <v>25</v>
      </c>
      <c r="AH264" s="307" t="s">
        <v>26</v>
      </c>
      <c r="AI264" s="308" t="s">
        <v>27</v>
      </c>
      <c r="AK264" s="25"/>
      <c r="AL264" s="26" t="s">
        <v>24</v>
      </c>
      <c r="AM264" s="27" t="s">
        <v>25</v>
      </c>
      <c r="AN264" s="27" t="s">
        <v>27</v>
      </c>
      <c r="AO264" s="28" t="s">
        <v>28</v>
      </c>
    </row>
    <row r="265" spans="2:41" x14ac:dyDescent="0.25">
      <c r="B265" s="243" t="s">
        <v>29</v>
      </c>
      <c r="C265" s="156" t="s">
        <v>82</v>
      </c>
      <c r="D265" s="309">
        <v>5</v>
      </c>
      <c r="E265" s="310">
        <v>4</v>
      </c>
      <c r="F265" s="311" t="s">
        <v>171</v>
      </c>
      <c r="G265" s="312">
        <v>9</v>
      </c>
      <c r="I265" s="243" t="s">
        <v>29</v>
      </c>
      <c r="J265" s="156" t="s">
        <v>82</v>
      </c>
      <c r="K265" s="309">
        <v>9</v>
      </c>
      <c r="L265" s="313">
        <v>0</v>
      </c>
      <c r="M265" s="311"/>
      <c r="N265" s="312">
        <v>9</v>
      </c>
      <c r="P265" s="243" t="s">
        <v>29</v>
      </c>
      <c r="Q265" s="156" t="s">
        <v>82</v>
      </c>
      <c r="R265" s="309">
        <v>7</v>
      </c>
      <c r="S265" s="310">
        <v>1</v>
      </c>
      <c r="T265" s="311" t="s">
        <v>172</v>
      </c>
      <c r="U265" s="312">
        <v>8</v>
      </c>
      <c r="W265" s="243" t="s">
        <v>29</v>
      </c>
      <c r="X265" s="156" t="s">
        <v>82</v>
      </c>
      <c r="Y265" s="309">
        <v>6</v>
      </c>
      <c r="Z265" s="313">
        <v>0</v>
      </c>
      <c r="AA265" s="311"/>
      <c r="AB265" s="312">
        <v>6</v>
      </c>
      <c r="AD265" s="314"/>
      <c r="AE265" s="315" t="s">
        <v>82</v>
      </c>
      <c r="AF265" s="316">
        <v>3</v>
      </c>
      <c r="AG265" s="317">
        <v>1</v>
      </c>
      <c r="AH265" s="318" t="s">
        <v>173</v>
      </c>
      <c r="AI265" s="319">
        <v>4</v>
      </c>
      <c r="AK265" s="38" t="s">
        <v>29</v>
      </c>
      <c r="AL265" s="39">
        <v>27</v>
      </c>
      <c r="AM265" s="40">
        <v>5</v>
      </c>
      <c r="AN265" s="32">
        <f>SUM(AL265,AM265)</f>
        <v>32</v>
      </c>
      <c r="AO265" s="41">
        <f>AN265/AN268*100</f>
        <v>62.745098039215684</v>
      </c>
    </row>
    <row r="266" spans="2:41" x14ac:dyDescent="0.25">
      <c r="B266" s="255" t="s">
        <v>31</v>
      </c>
      <c r="C266" s="54">
        <v>2</v>
      </c>
      <c r="D266" s="54">
        <v>0</v>
      </c>
      <c r="E266" s="54">
        <v>0</v>
      </c>
      <c r="F266" s="320"/>
      <c r="G266" s="63">
        <v>0</v>
      </c>
      <c r="I266" s="255" t="s">
        <v>31</v>
      </c>
      <c r="J266" s="54">
        <v>2</v>
      </c>
      <c r="K266" s="54">
        <v>0</v>
      </c>
      <c r="L266" s="54">
        <v>0</v>
      </c>
      <c r="M266" s="320"/>
      <c r="N266" s="63">
        <v>0</v>
      </c>
      <c r="P266" s="255" t="s">
        <v>31</v>
      </c>
      <c r="Q266" s="54">
        <v>2</v>
      </c>
      <c r="R266" s="54">
        <v>0</v>
      </c>
      <c r="S266" s="54">
        <v>0</v>
      </c>
      <c r="T266" s="320"/>
      <c r="U266" s="63">
        <v>0</v>
      </c>
      <c r="W266" s="255" t="s">
        <v>31</v>
      </c>
      <c r="X266" s="54">
        <v>2</v>
      </c>
      <c r="Y266" s="54">
        <v>0</v>
      </c>
      <c r="Z266" s="54">
        <v>0</v>
      </c>
      <c r="AA266" s="320"/>
      <c r="AB266" s="63">
        <v>0</v>
      </c>
      <c r="AD266" s="260"/>
      <c r="AE266" s="149">
        <v>2</v>
      </c>
      <c r="AF266" s="149">
        <v>0</v>
      </c>
      <c r="AG266" s="149">
        <v>0</v>
      </c>
      <c r="AH266" s="220"/>
      <c r="AI266" s="321"/>
      <c r="AK266" s="38" t="s">
        <v>31</v>
      </c>
      <c r="AL266" s="2">
        <v>0</v>
      </c>
      <c r="AM266" s="40">
        <v>0</v>
      </c>
      <c r="AN266" s="41">
        <v>0</v>
      </c>
      <c r="AO266" s="41">
        <v>0</v>
      </c>
    </row>
    <row r="267" spans="2:41" x14ac:dyDescent="0.25">
      <c r="B267" s="263" t="s">
        <v>32</v>
      </c>
      <c r="C267" s="36">
        <v>4</v>
      </c>
      <c r="D267" s="36">
        <v>0</v>
      </c>
      <c r="E267" s="36">
        <v>0</v>
      </c>
      <c r="F267" s="322"/>
      <c r="G267" s="37">
        <v>14</v>
      </c>
      <c r="I267" s="263" t="s">
        <v>32</v>
      </c>
      <c r="J267" s="36">
        <v>4</v>
      </c>
      <c r="K267" s="323">
        <v>2</v>
      </c>
      <c r="L267" s="36">
        <v>0</v>
      </c>
      <c r="M267" s="322"/>
      <c r="N267" s="37">
        <v>3</v>
      </c>
      <c r="P267" s="263" t="s">
        <v>32</v>
      </c>
      <c r="Q267" s="36">
        <v>4</v>
      </c>
      <c r="R267" s="36">
        <v>0</v>
      </c>
      <c r="S267" s="36">
        <v>0</v>
      </c>
      <c r="T267" s="322"/>
      <c r="U267" s="37">
        <v>1</v>
      </c>
      <c r="W267" s="263" t="s">
        <v>32</v>
      </c>
      <c r="X267" s="36">
        <v>4</v>
      </c>
      <c r="Y267" s="36">
        <v>0</v>
      </c>
      <c r="Z267" s="36">
        <v>0</v>
      </c>
      <c r="AA267" s="322"/>
      <c r="AB267" s="37">
        <v>1</v>
      </c>
      <c r="AD267" s="260"/>
      <c r="AE267" s="149">
        <v>4</v>
      </c>
      <c r="AF267" s="149">
        <v>0</v>
      </c>
      <c r="AG267" s="149">
        <v>0</v>
      </c>
      <c r="AH267" s="149"/>
      <c r="AI267" s="324">
        <v>0</v>
      </c>
      <c r="AK267" s="56" t="s">
        <v>32</v>
      </c>
      <c r="AL267" s="57">
        <v>3</v>
      </c>
      <c r="AM267" s="58">
        <v>16</v>
      </c>
      <c r="AN267" s="50">
        <f>SUM(AL267,AM267)</f>
        <v>19</v>
      </c>
      <c r="AO267" s="59">
        <f>AN267/AN268*100</f>
        <v>37.254901960784316</v>
      </c>
    </row>
    <row r="268" spans="2:41" x14ac:dyDescent="0.25">
      <c r="B268" s="269"/>
      <c r="C268" s="36">
        <v>8</v>
      </c>
      <c r="D268" s="36">
        <v>0</v>
      </c>
      <c r="E268" s="36">
        <v>0</v>
      </c>
      <c r="F268" s="322"/>
      <c r="G268" s="46"/>
      <c r="I268" s="269"/>
      <c r="J268" s="36">
        <v>8</v>
      </c>
      <c r="K268" s="36">
        <v>0</v>
      </c>
      <c r="L268" s="36">
        <v>0</v>
      </c>
      <c r="M268" s="322"/>
      <c r="N268" s="46"/>
      <c r="P268" s="269"/>
      <c r="Q268" s="36">
        <v>8</v>
      </c>
      <c r="R268" s="36">
        <v>0</v>
      </c>
      <c r="S268" s="36">
        <v>0</v>
      </c>
      <c r="T268" s="322"/>
      <c r="U268" s="46"/>
      <c r="W268" s="269"/>
      <c r="X268" s="36">
        <v>8</v>
      </c>
      <c r="Y268" s="36">
        <v>0</v>
      </c>
      <c r="Z268" s="36">
        <v>0</v>
      </c>
      <c r="AA268" s="322"/>
      <c r="AB268" s="46"/>
      <c r="AD268" s="260"/>
      <c r="AE268" s="149">
        <v>8</v>
      </c>
      <c r="AF268" s="149">
        <v>0</v>
      </c>
      <c r="AG268" s="149">
        <v>0</v>
      </c>
      <c r="AH268" s="220"/>
      <c r="AI268" s="321"/>
      <c r="AK268" s="56" t="s">
        <v>27</v>
      </c>
      <c r="AL268" s="64">
        <f>SUM(AL265,AL267)</f>
        <v>30</v>
      </c>
      <c r="AM268" s="50">
        <f>SUM(AM265,AM267)</f>
        <v>21</v>
      </c>
      <c r="AN268" s="50">
        <f>SUM(AL265:AM267)</f>
        <v>51</v>
      </c>
      <c r="AO268" s="59"/>
    </row>
    <row r="269" spans="2:41" ht="30" x14ac:dyDescent="0.25">
      <c r="B269" s="274"/>
      <c r="C269" s="54" t="s">
        <v>87</v>
      </c>
      <c r="D269" s="54">
        <v>0</v>
      </c>
      <c r="E269" s="325">
        <v>14</v>
      </c>
      <c r="F269" s="294" t="s">
        <v>174</v>
      </c>
      <c r="G269" s="55"/>
      <c r="I269" s="274"/>
      <c r="J269" s="54" t="s">
        <v>87</v>
      </c>
      <c r="K269" s="54">
        <v>0</v>
      </c>
      <c r="L269" s="325">
        <v>1</v>
      </c>
      <c r="M269" s="294" t="s">
        <v>173</v>
      </c>
      <c r="N269" s="55"/>
      <c r="P269" s="274"/>
      <c r="Q269" s="54" t="s">
        <v>87</v>
      </c>
      <c r="R269" s="54">
        <v>0</v>
      </c>
      <c r="S269" s="325">
        <v>1</v>
      </c>
      <c r="T269" s="294" t="s">
        <v>173</v>
      </c>
      <c r="U269" s="55"/>
      <c r="W269" s="274"/>
      <c r="X269" s="54" t="s">
        <v>87</v>
      </c>
      <c r="Y269" s="326">
        <v>1</v>
      </c>
      <c r="Z269" s="327">
        <v>0</v>
      </c>
      <c r="AA269" s="294"/>
      <c r="AB269" s="55"/>
      <c r="AD269" s="279"/>
      <c r="AE269" s="161" t="s">
        <v>87</v>
      </c>
      <c r="AF269" s="161">
        <v>0</v>
      </c>
      <c r="AG269" s="328">
        <v>0</v>
      </c>
      <c r="AH269" s="329"/>
      <c r="AI269" s="330"/>
      <c r="AK269" s="56" t="s">
        <v>28</v>
      </c>
      <c r="AL269" s="64">
        <f>AL268/AN268*100</f>
        <v>58.82352941176471</v>
      </c>
      <c r="AM269" s="59">
        <f>AM268/AN268*100</f>
        <v>41.17647058823529</v>
      </c>
      <c r="AN269" s="59"/>
      <c r="AO269" s="59"/>
    </row>
    <row r="270" spans="2:41" ht="15.75" thickBot="1" x14ac:dyDescent="0.3">
      <c r="B270" s="284"/>
      <c r="C270" s="76"/>
      <c r="D270" s="76">
        <v>5</v>
      </c>
      <c r="E270" s="76">
        <v>18</v>
      </c>
      <c r="F270" s="331"/>
      <c r="G270" s="77">
        <v>23</v>
      </c>
      <c r="I270" s="284"/>
      <c r="J270" s="76"/>
      <c r="K270" s="76">
        <v>11</v>
      </c>
      <c r="L270" s="76">
        <v>1</v>
      </c>
      <c r="M270" s="331"/>
      <c r="N270" s="77">
        <v>12</v>
      </c>
      <c r="P270" s="284"/>
      <c r="Q270" s="76"/>
      <c r="R270" s="76">
        <v>7</v>
      </c>
      <c r="S270" s="76">
        <v>2</v>
      </c>
      <c r="T270" s="331"/>
      <c r="U270" s="77">
        <v>9</v>
      </c>
      <c r="W270" s="284"/>
      <c r="X270" s="76"/>
      <c r="Y270" s="76">
        <v>7</v>
      </c>
      <c r="Z270" s="76">
        <v>0</v>
      </c>
      <c r="AA270" s="331"/>
      <c r="AB270" s="77">
        <v>7</v>
      </c>
      <c r="AD270" s="289"/>
      <c r="AE270" s="168"/>
      <c r="AF270" s="168">
        <v>3</v>
      </c>
      <c r="AG270" s="168">
        <v>1</v>
      </c>
      <c r="AH270" s="332"/>
      <c r="AI270" s="333">
        <v>4</v>
      </c>
    </row>
    <row r="271" spans="2:41" x14ac:dyDescent="0.25">
      <c r="B271" s="6"/>
      <c r="C271" s="6"/>
      <c r="D271" s="6"/>
      <c r="E271" s="6"/>
      <c r="F271" s="6"/>
      <c r="G271" s="6"/>
      <c r="I271" s="6"/>
      <c r="J271" s="6"/>
      <c r="K271" s="6"/>
      <c r="L271" s="6"/>
      <c r="M271" s="6"/>
      <c r="N271" s="6"/>
      <c r="P271" s="6"/>
      <c r="Q271" s="6"/>
      <c r="R271" s="6"/>
      <c r="S271" s="6"/>
      <c r="T271" s="6"/>
      <c r="U271" s="6"/>
      <c r="W271" s="6"/>
      <c r="X271" s="6"/>
      <c r="Y271" s="6"/>
      <c r="Z271" s="6"/>
      <c r="AA271" s="6"/>
      <c r="AB271" s="6"/>
      <c r="AD271" s="6"/>
      <c r="AE271" s="6"/>
      <c r="AF271" s="6"/>
      <c r="AG271" s="6"/>
      <c r="AH271" s="6"/>
      <c r="AI271" s="6"/>
    </row>
    <row r="272" spans="2:41" ht="19.5" thickBot="1" x14ac:dyDescent="0.35">
      <c r="B272" s="15" t="s">
        <v>175</v>
      </c>
      <c r="C272" s="16"/>
      <c r="D272" s="12"/>
      <c r="E272" s="15"/>
      <c r="F272" s="15"/>
      <c r="G272" s="15"/>
      <c r="I272" s="15" t="s">
        <v>175</v>
      </c>
      <c r="J272" s="16"/>
      <c r="K272" s="15"/>
      <c r="L272" s="12"/>
      <c r="M272" s="15"/>
      <c r="N272" s="15"/>
      <c r="P272" s="15" t="s">
        <v>175</v>
      </c>
      <c r="Q272" s="16"/>
      <c r="R272" s="15"/>
      <c r="S272" s="12"/>
      <c r="T272" s="15"/>
      <c r="U272" s="15"/>
      <c r="W272" s="139" t="s">
        <v>176</v>
      </c>
      <c r="X272" s="141"/>
      <c r="Y272" s="139"/>
      <c r="Z272" s="231"/>
      <c r="AA272" s="139"/>
      <c r="AB272" s="139"/>
      <c r="AD272" s="139" t="s">
        <v>176</v>
      </c>
      <c r="AE272" s="141"/>
      <c r="AF272" s="139"/>
      <c r="AG272" s="139"/>
      <c r="AH272" s="139"/>
      <c r="AI272" s="139"/>
      <c r="AK272" s="9" t="s">
        <v>177</v>
      </c>
    </row>
    <row r="273" spans="2:41" ht="30" x14ac:dyDescent="0.25">
      <c r="B273" s="20" t="s">
        <v>22</v>
      </c>
      <c r="C273" s="21" t="s">
        <v>23</v>
      </c>
      <c r="D273" s="21" t="s">
        <v>24</v>
      </c>
      <c r="E273" s="21" t="s">
        <v>25</v>
      </c>
      <c r="F273" s="22" t="s">
        <v>26</v>
      </c>
      <c r="G273" s="23" t="s">
        <v>27</v>
      </c>
      <c r="I273" s="20" t="s">
        <v>22</v>
      </c>
      <c r="J273" s="21" t="s">
        <v>23</v>
      </c>
      <c r="K273" s="21" t="s">
        <v>24</v>
      </c>
      <c r="L273" s="21" t="s">
        <v>25</v>
      </c>
      <c r="M273" s="22" t="s">
        <v>26</v>
      </c>
      <c r="N273" s="23" t="s">
        <v>27</v>
      </c>
      <c r="P273" s="20" t="s">
        <v>22</v>
      </c>
      <c r="Q273" s="21" t="s">
        <v>23</v>
      </c>
      <c r="R273" s="21" t="s">
        <v>24</v>
      </c>
      <c r="S273" s="21" t="s">
        <v>25</v>
      </c>
      <c r="T273" s="22" t="s">
        <v>26</v>
      </c>
      <c r="U273" s="23" t="s">
        <v>27</v>
      </c>
      <c r="W273" s="334" t="s">
        <v>22</v>
      </c>
      <c r="X273" s="335" t="s">
        <v>23</v>
      </c>
      <c r="Y273" s="335" t="s">
        <v>24</v>
      </c>
      <c r="Z273" s="335" t="s">
        <v>25</v>
      </c>
      <c r="AA273" s="336" t="s">
        <v>26</v>
      </c>
      <c r="AB273" s="337" t="s">
        <v>27</v>
      </c>
      <c r="AD273" s="20" t="s">
        <v>22</v>
      </c>
      <c r="AE273" s="21" t="s">
        <v>23</v>
      </c>
      <c r="AF273" s="21" t="s">
        <v>24</v>
      </c>
      <c r="AG273" s="21" t="s">
        <v>25</v>
      </c>
      <c r="AH273" s="22" t="s">
        <v>26</v>
      </c>
      <c r="AI273" s="23" t="s">
        <v>27</v>
      </c>
      <c r="AK273" s="25"/>
      <c r="AL273" s="26" t="s">
        <v>24</v>
      </c>
      <c r="AM273" s="27" t="s">
        <v>25</v>
      </c>
      <c r="AN273" s="27" t="s">
        <v>27</v>
      </c>
      <c r="AO273" s="28" t="s">
        <v>28</v>
      </c>
    </row>
    <row r="274" spans="2:41" x14ac:dyDescent="0.25">
      <c r="B274" s="263" t="s">
        <v>29</v>
      </c>
      <c r="C274" s="264" t="s">
        <v>178</v>
      </c>
      <c r="D274" s="270">
        <v>4</v>
      </c>
      <c r="E274" s="298">
        <v>0</v>
      </c>
      <c r="F274" s="338"/>
      <c r="G274" s="266">
        <v>23</v>
      </c>
      <c r="I274" s="263" t="s">
        <v>29</v>
      </c>
      <c r="J274" s="264" t="s">
        <v>178</v>
      </c>
      <c r="K274" s="270">
        <v>2</v>
      </c>
      <c r="L274" s="298">
        <v>0</v>
      </c>
      <c r="M274" s="338"/>
      <c r="N274" s="266">
        <v>12</v>
      </c>
      <c r="P274" s="263" t="s">
        <v>29</v>
      </c>
      <c r="Q274" s="264" t="s">
        <v>178</v>
      </c>
      <c r="R274" s="270">
        <v>3</v>
      </c>
      <c r="S274" s="298">
        <v>0</v>
      </c>
      <c r="T274" s="338"/>
      <c r="U274" s="266">
        <v>9</v>
      </c>
      <c r="W274" s="260"/>
      <c r="X274" s="261" t="s">
        <v>178</v>
      </c>
      <c r="Y274" s="273">
        <v>7</v>
      </c>
      <c r="Z274" s="339">
        <v>0</v>
      </c>
      <c r="AA274" s="339"/>
      <c r="AB274" s="262">
        <v>7</v>
      </c>
      <c r="AD274" s="260"/>
      <c r="AE274" s="261" t="s">
        <v>178</v>
      </c>
      <c r="AF274" s="273">
        <v>3</v>
      </c>
      <c r="AG274" s="339"/>
      <c r="AH274" s="339"/>
      <c r="AI274" s="262"/>
      <c r="AK274" s="38" t="s">
        <v>29</v>
      </c>
      <c r="AL274" s="39">
        <v>44</v>
      </c>
      <c r="AM274" s="40">
        <v>0</v>
      </c>
      <c r="AN274" s="32">
        <f>SUM(AL274,AM274)</f>
        <v>44</v>
      </c>
      <c r="AO274" s="41">
        <f>AN274/AN276*100</f>
        <v>100</v>
      </c>
    </row>
    <row r="275" spans="2:41" x14ac:dyDescent="0.25">
      <c r="B275" s="269"/>
      <c r="C275" s="264">
        <v>0.03</v>
      </c>
      <c r="D275" s="270">
        <v>19</v>
      </c>
      <c r="E275" s="298">
        <v>0</v>
      </c>
      <c r="F275" s="338"/>
      <c r="G275" s="271"/>
      <c r="I275" s="269"/>
      <c r="J275" s="264">
        <v>0.03</v>
      </c>
      <c r="K275" s="270">
        <v>8</v>
      </c>
      <c r="L275" s="298">
        <v>0</v>
      </c>
      <c r="M275" s="338"/>
      <c r="N275" s="271"/>
      <c r="P275" s="269"/>
      <c r="Q275" s="264">
        <v>0.03</v>
      </c>
      <c r="R275" s="270">
        <v>6</v>
      </c>
      <c r="S275" s="298">
        <v>0</v>
      </c>
      <c r="T275" s="338"/>
      <c r="U275" s="271"/>
      <c r="W275" s="260"/>
      <c r="X275" s="261">
        <v>0.03</v>
      </c>
      <c r="Y275" s="273">
        <v>0</v>
      </c>
      <c r="Z275" s="339">
        <v>0</v>
      </c>
      <c r="AA275" s="339"/>
      <c r="AB275" s="262"/>
      <c r="AD275" s="260"/>
      <c r="AE275" s="261">
        <v>0.03</v>
      </c>
      <c r="AF275" s="273">
        <v>1</v>
      </c>
      <c r="AG275" s="339"/>
      <c r="AH275" s="339"/>
      <c r="AI275" s="262"/>
      <c r="AK275" s="56" t="s">
        <v>32</v>
      </c>
      <c r="AL275" s="57">
        <v>0</v>
      </c>
      <c r="AM275" s="58">
        <v>0</v>
      </c>
      <c r="AN275" s="50">
        <f>SUM(AL275,AM275)</f>
        <v>0</v>
      </c>
      <c r="AO275" s="59">
        <f>AN275/AN276*100</f>
        <v>0</v>
      </c>
    </row>
    <row r="276" spans="2:41" x14ac:dyDescent="0.25">
      <c r="B276" s="269"/>
      <c r="C276" s="264">
        <v>0.06</v>
      </c>
      <c r="D276" s="272">
        <v>0</v>
      </c>
      <c r="E276" s="298">
        <v>0</v>
      </c>
      <c r="F276" s="338"/>
      <c r="G276" s="271"/>
      <c r="I276" s="269"/>
      <c r="J276" s="264">
        <v>0.06</v>
      </c>
      <c r="K276" s="270">
        <v>2</v>
      </c>
      <c r="L276" s="298">
        <v>0</v>
      </c>
      <c r="M276" s="338"/>
      <c r="N276" s="271"/>
      <c r="P276" s="269"/>
      <c r="Q276" s="264">
        <v>0.06</v>
      </c>
      <c r="R276" s="272">
        <v>0</v>
      </c>
      <c r="S276" s="298">
        <v>0</v>
      </c>
      <c r="T276" s="338"/>
      <c r="U276" s="271"/>
      <c r="W276" s="260"/>
      <c r="X276" s="261">
        <v>0.06</v>
      </c>
      <c r="Y276" s="273">
        <v>0</v>
      </c>
      <c r="Z276" s="339">
        <v>0</v>
      </c>
      <c r="AA276" s="339"/>
      <c r="AB276" s="262"/>
      <c r="AD276" s="260"/>
      <c r="AE276" s="261">
        <v>0.06</v>
      </c>
      <c r="AF276" s="273">
        <v>0</v>
      </c>
      <c r="AG276" s="339"/>
      <c r="AH276" s="339"/>
      <c r="AI276" s="262"/>
      <c r="AK276" s="56" t="s">
        <v>27</v>
      </c>
      <c r="AL276" s="64">
        <f>SUM(AL274,AL275)</f>
        <v>44</v>
      </c>
      <c r="AM276" s="50">
        <f>SUM(AM274,AM275)</f>
        <v>0</v>
      </c>
      <c r="AN276" s="50">
        <f>SUM(AL274:AM275)</f>
        <v>44</v>
      </c>
      <c r="AO276" s="59"/>
    </row>
    <row r="277" spans="2:41" x14ac:dyDescent="0.25">
      <c r="B277" s="274"/>
      <c r="C277" s="256">
        <v>0.12</v>
      </c>
      <c r="D277" s="300">
        <v>0</v>
      </c>
      <c r="E277" s="340">
        <v>0</v>
      </c>
      <c r="F277" s="341"/>
      <c r="G277" s="277"/>
      <c r="I277" s="274"/>
      <c r="J277" s="256">
        <v>0.12</v>
      </c>
      <c r="K277" s="300">
        <v>0</v>
      </c>
      <c r="L277" s="340">
        <v>0</v>
      </c>
      <c r="M277" s="341"/>
      <c r="N277" s="277"/>
      <c r="P277" s="274"/>
      <c r="Q277" s="256">
        <v>0.12</v>
      </c>
      <c r="R277" s="300">
        <v>0</v>
      </c>
      <c r="S277" s="340">
        <v>0</v>
      </c>
      <c r="T277" s="341"/>
      <c r="U277" s="277"/>
      <c r="W277" s="260"/>
      <c r="X277" s="261">
        <v>0.12</v>
      </c>
      <c r="Y277" s="273">
        <v>0</v>
      </c>
      <c r="Z277" s="339">
        <v>0</v>
      </c>
      <c r="AA277" s="339"/>
      <c r="AB277" s="262"/>
      <c r="AD277" s="260"/>
      <c r="AE277" s="261">
        <v>0.12</v>
      </c>
      <c r="AF277" s="273">
        <v>0</v>
      </c>
      <c r="AG277" s="339"/>
      <c r="AH277" s="339"/>
      <c r="AI277" s="262"/>
      <c r="AK277" s="56" t="s">
        <v>28</v>
      </c>
      <c r="AL277" s="64">
        <f>AL276/AN276*100</f>
        <v>100</v>
      </c>
      <c r="AM277" s="59">
        <f>AM276/AN276*100</f>
        <v>0</v>
      </c>
      <c r="AN277" s="59"/>
      <c r="AO277" s="59"/>
    </row>
    <row r="278" spans="2:41" x14ac:dyDescent="0.25">
      <c r="B278" s="342" t="s">
        <v>32</v>
      </c>
      <c r="C278" s="256" t="s">
        <v>179</v>
      </c>
      <c r="D278" s="256">
        <v>0</v>
      </c>
      <c r="E278" s="300">
        <v>0</v>
      </c>
      <c r="F278" s="343"/>
      <c r="G278" s="344">
        <v>0</v>
      </c>
      <c r="I278" s="342" t="s">
        <v>32</v>
      </c>
      <c r="J278" s="256" t="s">
        <v>179</v>
      </c>
      <c r="K278" s="256">
        <v>0</v>
      </c>
      <c r="L278" s="300">
        <v>0</v>
      </c>
      <c r="M278" s="343"/>
      <c r="N278" s="344">
        <v>0</v>
      </c>
      <c r="P278" s="342" t="s">
        <v>32</v>
      </c>
      <c r="Q278" s="256" t="s">
        <v>179</v>
      </c>
      <c r="R278" s="256">
        <v>0</v>
      </c>
      <c r="S278" s="300">
        <v>0</v>
      </c>
      <c r="T278" s="343"/>
      <c r="U278" s="344">
        <v>0</v>
      </c>
      <c r="W278" s="345"/>
      <c r="X278" s="346" t="s">
        <v>179</v>
      </c>
      <c r="Y278" s="346">
        <v>0</v>
      </c>
      <c r="Z278" s="347">
        <v>0</v>
      </c>
      <c r="AA278" s="347"/>
      <c r="AB278" s="348">
        <v>0</v>
      </c>
      <c r="AD278" s="345"/>
      <c r="AE278" s="346" t="s">
        <v>179</v>
      </c>
      <c r="AF278" s="346">
        <v>0</v>
      </c>
      <c r="AG278" s="347"/>
      <c r="AH278" s="347"/>
      <c r="AI278" s="348"/>
    </row>
    <row r="279" spans="2:41" ht="15.75" thickBot="1" x14ac:dyDescent="0.3">
      <c r="B279" s="284"/>
      <c r="C279" s="285"/>
      <c r="D279" s="285">
        <v>23</v>
      </c>
      <c r="E279" s="285">
        <v>0</v>
      </c>
      <c r="F279" s="349"/>
      <c r="G279" s="287">
        <v>23</v>
      </c>
      <c r="I279" s="284"/>
      <c r="J279" s="285"/>
      <c r="K279" s="285">
        <v>12</v>
      </c>
      <c r="L279" s="285">
        <v>0</v>
      </c>
      <c r="M279" s="349"/>
      <c r="N279" s="287">
        <v>12</v>
      </c>
      <c r="P279" s="284"/>
      <c r="Q279" s="285"/>
      <c r="R279" s="285">
        <v>9</v>
      </c>
      <c r="S279" s="285"/>
      <c r="T279" s="349"/>
      <c r="U279" s="287">
        <v>9</v>
      </c>
      <c r="W279" s="289"/>
      <c r="X279" s="290"/>
      <c r="Y279" s="290">
        <v>7</v>
      </c>
      <c r="Z279" s="290">
        <v>0</v>
      </c>
      <c r="AA279" s="350"/>
      <c r="AB279" s="292">
        <v>7</v>
      </c>
      <c r="AD279" s="289"/>
      <c r="AE279" s="290"/>
      <c r="AF279" s="290"/>
      <c r="AG279" s="290"/>
      <c r="AH279" s="350"/>
      <c r="AI279" s="292"/>
    </row>
    <row r="280" spans="2:41" x14ac:dyDescent="0.25">
      <c r="B280" s="6"/>
      <c r="C280" s="6"/>
      <c r="D280" s="6"/>
      <c r="E280" s="6"/>
      <c r="F280" s="6"/>
      <c r="G280" s="6"/>
      <c r="I280" s="6"/>
      <c r="J280" s="6"/>
      <c r="K280" s="6"/>
      <c r="L280" s="6"/>
      <c r="M280" s="6"/>
      <c r="N280" s="6"/>
      <c r="P280" s="6"/>
      <c r="Q280" s="6"/>
      <c r="R280" s="6"/>
      <c r="S280" s="6"/>
      <c r="T280" s="6"/>
      <c r="U280" s="6"/>
      <c r="W280" s="6"/>
      <c r="X280" s="6"/>
      <c r="Y280" s="6"/>
      <c r="Z280" s="6"/>
      <c r="AA280" s="6"/>
      <c r="AB280" s="6"/>
      <c r="AD280" s="5"/>
      <c r="AE280" s="5"/>
      <c r="AF280" s="5"/>
      <c r="AG280" s="5"/>
      <c r="AH280" s="5"/>
      <c r="AI280" s="5"/>
    </row>
    <row r="281" spans="2:41" ht="18.75" customHeight="1" thickBot="1" x14ac:dyDescent="0.35">
      <c r="B281" s="15" t="s">
        <v>180</v>
      </c>
      <c r="C281" s="16"/>
      <c r="D281" s="12"/>
      <c r="E281" s="16"/>
      <c r="F281" s="16"/>
      <c r="G281" s="16"/>
      <c r="I281" s="15" t="s">
        <v>180</v>
      </c>
      <c r="J281" s="16"/>
      <c r="K281" s="16"/>
      <c r="L281" s="12"/>
      <c r="M281" s="16"/>
      <c r="N281" s="16"/>
      <c r="P281" s="15" t="s">
        <v>180</v>
      </c>
      <c r="Q281" s="16"/>
      <c r="R281" s="16"/>
      <c r="S281" s="12"/>
      <c r="T281" s="16"/>
      <c r="U281" s="16"/>
      <c r="W281" s="15" t="s">
        <v>180</v>
      </c>
      <c r="X281" s="16"/>
      <c r="Y281" s="16"/>
      <c r="Z281" s="12"/>
      <c r="AA281" s="16"/>
      <c r="AB281" s="16"/>
      <c r="AD281" s="139" t="s">
        <v>181</v>
      </c>
      <c r="AE281" s="141"/>
      <c r="AF281" s="141"/>
      <c r="AG281" s="141"/>
      <c r="AH281" s="141"/>
      <c r="AI281" s="141"/>
      <c r="AK281" s="9" t="s">
        <v>182</v>
      </c>
    </row>
    <row r="282" spans="2:41" ht="30" x14ac:dyDescent="0.25">
      <c r="B282" s="20" t="s">
        <v>22</v>
      </c>
      <c r="C282" s="21" t="s">
        <v>23</v>
      </c>
      <c r="D282" s="21" t="s">
        <v>24</v>
      </c>
      <c r="E282" s="21" t="s">
        <v>25</v>
      </c>
      <c r="F282" s="22" t="s">
        <v>26</v>
      </c>
      <c r="G282" s="23" t="s">
        <v>27</v>
      </c>
      <c r="I282" s="20" t="s">
        <v>22</v>
      </c>
      <c r="J282" s="21" t="s">
        <v>23</v>
      </c>
      <c r="K282" s="21" t="s">
        <v>24</v>
      </c>
      <c r="L282" s="21" t="s">
        <v>25</v>
      </c>
      <c r="M282" s="22" t="s">
        <v>26</v>
      </c>
      <c r="N282" s="23" t="s">
        <v>27</v>
      </c>
      <c r="P282" s="20" t="s">
        <v>22</v>
      </c>
      <c r="Q282" s="21" t="s">
        <v>23</v>
      </c>
      <c r="R282" s="21" t="s">
        <v>24</v>
      </c>
      <c r="S282" s="21" t="s">
        <v>25</v>
      </c>
      <c r="T282" s="22" t="s">
        <v>26</v>
      </c>
      <c r="U282" s="23" t="s">
        <v>27</v>
      </c>
      <c r="W282" s="20" t="s">
        <v>22</v>
      </c>
      <c r="X282" s="21" t="s">
        <v>23</v>
      </c>
      <c r="Y282" s="21" t="s">
        <v>24</v>
      </c>
      <c r="Z282" s="21" t="s">
        <v>25</v>
      </c>
      <c r="AA282" s="22" t="s">
        <v>26</v>
      </c>
      <c r="AB282" s="23" t="s">
        <v>27</v>
      </c>
      <c r="AD282" s="20" t="s">
        <v>22</v>
      </c>
      <c r="AE282" s="21" t="s">
        <v>23</v>
      </c>
      <c r="AF282" s="21" t="s">
        <v>24</v>
      </c>
      <c r="AG282" s="21" t="s">
        <v>25</v>
      </c>
      <c r="AH282" s="22" t="s">
        <v>26</v>
      </c>
      <c r="AI282" s="23" t="s">
        <v>27</v>
      </c>
      <c r="AK282" s="25"/>
      <c r="AL282" s="26" t="s">
        <v>24</v>
      </c>
      <c r="AM282" s="27" t="s">
        <v>25</v>
      </c>
      <c r="AN282" s="27" t="s">
        <v>27</v>
      </c>
      <c r="AO282" s="28" t="s">
        <v>28</v>
      </c>
    </row>
    <row r="283" spans="2:41" ht="30" x14ac:dyDescent="0.25">
      <c r="B283" s="263" t="s">
        <v>29</v>
      </c>
      <c r="C283" s="264" t="s">
        <v>183</v>
      </c>
      <c r="D283" s="270">
        <v>23</v>
      </c>
      <c r="E283" s="298">
        <v>0</v>
      </c>
      <c r="F283" s="338"/>
      <c r="G283" s="266">
        <v>23</v>
      </c>
      <c r="I283" s="263" t="s">
        <v>29</v>
      </c>
      <c r="J283" s="264" t="s">
        <v>183</v>
      </c>
      <c r="K283" s="270">
        <v>12</v>
      </c>
      <c r="L283" s="298">
        <v>0</v>
      </c>
      <c r="M283" s="338"/>
      <c r="N283" s="266">
        <v>12</v>
      </c>
      <c r="P283" s="263" t="s">
        <v>29</v>
      </c>
      <c r="Q283" s="264" t="s">
        <v>183</v>
      </c>
      <c r="R283" s="270">
        <v>9</v>
      </c>
      <c r="S283" s="298">
        <v>0</v>
      </c>
      <c r="T283" s="338" t="s">
        <v>54</v>
      </c>
      <c r="U283" s="266">
        <v>9</v>
      </c>
      <c r="W283" s="263" t="s">
        <v>29</v>
      </c>
      <c r="X283" s="264" t="s">
        <v>183</v>
      </c>
      <c r="Y283" s="270">
        <v>6</v>
      </c>
      <c r="Z283" s="298">
        <v>0</v>
      </c>
      <c r="AA283" s="338"/>
      <c r="AB283" s="266">
        <v>6</v>
      </c>
      <c r="AD283" s="314"/>
      <c r="AE283" s="261" t="s">
        <v>183</v>
      </c>
      <c r="AF283" s="273">
        <v>3</v>
      </c>
      <c r="AG283" s="339"/>
      <c r="AH283" s="351"/>
      <c r="AI283" s="352"/>
      <c r="AK283" s="38" t="s">
        <v>29</v>
      </c>
      <c r="AL283" s="39">
        <v>50</v>
      </c>
      <c r="AM283" s="40">
        <v>0</v>
      </c>
      <c r="AN283" s="32">
        <f>SUM(AL283,AM283)</f>
        <v>50</v>
      </c>
      <c r="AO283" s="41">
        <f>AN283/AN286*100</f>
        <v>98.039215686274503</v>
      </c>
    </row>
    <row r="284" spans="2:41" x14ac:dyDescent="0.25">
      <c r="B284" s="274"/>
      <c r="C284" s="353" t="s">
        <v>184</v>
      </c>
      <c r="D284" s="256">
        <v>0</v>
      </c>
      <c r="E284" s="256">
        <v>0</v>
      </c>
      <c r="F284" s="354"/>
      <c r="G284" s="277"/>
      <c r="I284" s="274"/>
      <c r="J284" s="353" t="s">
        <v>184</v>
      </c>
      <c r="K284" s="256">
        <v>0</v>
      </c>
      <c r="L284" s="256">
        <v>0</v>
      </c>
      <c r="M284" s="354"/>
      <c r="N284" s="277"/>
      <c r="P284" s="274"/>
      <c r="Q284" s="353" t="s">
        <v>184</v>
      </c>
      <c r="R284" s="256">
        <v>0</v>
      </c>
      <c r="S284" s="256">
        <v>0</v>
      </c>
      <c r="T284" s="354"/>
      <c r="U284" s="277"/>
      <c r="W284" s="274"/>
      <c r="X284" s="353" t="s">
        <v>184</v>
      </c>
      <c r="Y284" s="256">
        <v>0</v>
      </c>
      <c r="Z284" s="256">
        <v>0</v>
      </c>
      <c r="AA284" s="354"/>
      <c r="AB284" s="277"/>
      <c r="AD284" s="260"/>
      <c r="AE284" s="355" t="s">
        <v>184</v>
      </c>
      <c r="AF284" s="261">
        <v>0</v>
      </c>
      <c r="AG284" s="261"/>
      <c r="AH284" s="356"/>
      <c r="AI284" s="357"/>
      <c r="AK284" s="38" t="s">
        <v>31</v>
      </c>
      <c r="AL284" s="2">
        <v>1</v>
      </c>
      <c r="AM284" s="40">
        <v>0</v>
      </c>
      <c r="AN284" s="41">
        <v>1</v>
      </c>
      <c r="AO284" s="41">
        <f>AN284/AN286*100</f>
        <v>1.9607843137254901</v>
      </c>
    </row>
    <row r="285" spans="2:41" x14ac:dyDescent="0.25">
      <c r="B285" s="255" t="s">
        <v>31</v>
      </c>
      <c r="C285" s="353" t="s">
        <v>53</v>
      </c>
      <c r="D285" s="256">
        <v>0</v>
      </c>
      <c r="E285" s="256">
        <v>0</v>
      </c>
      <c r="F285" s="354"/>
      <c r="G285" s="258">
        <v>0</v>
      </c>
      <c r="I285" s="255" t="s">
        <v>31</v>
      </c>
      <c r="J285" s="353" t="s">
        <v>53</v>
      </c>
      <c r="K285" s="256">
        <v>0</v>
      </c>
      <c r="L285" s="256">
        <v>0</v>
      </c>
      <c r="M285" s="354"/>
      <c r="N285" s="258">
        <v>0</v>
      </c>
      <c r="P285" s="255" t="s">
        <v>31</v>
      </c>
      <c r="Q285" s="353" t="s">
        <v>53</v>
      </c>
      <c r="R285" s="256">
        <v>0</v>
      </c>
      <c r="S285" s="256">
        <v>0</v>
      </c>
      <c r="T285" s="354"/>
      <c r="U285" s="258">
        <v>0</v>
      </c>
      <c r="W285" s="255" t="s">
        <v>31</v>
      </c>
      <c r="X285" s="353" t="s">
        <v>53</v>
      </c>
      <c r="Y285" s="259">
        <v>1</v>
      </c>
      <c r="Z285" s="256">
        <v>0</v>
      </c>
      <c r="AA285" s="354"/>
      <c r="AB285" s="258">
        <v>1</v>
      </c>
      <c r="AD285" s="260"/>
      <c r="AE285" s="355" t="s">
        <v>53</v>
      </c>
      <c r="AF285" s="261">
        <v>1</v>
      </c>
      <c r="AG285" s="261"/>
      <c r="AH285" s="261"/>
      <c r="AI285" s="262"/>
      <c r="AK285" s="56" t="s">
        <v>32</v>
      </c>
      <c r="AL285" s="57">
        <v>0</v>
      </c>
      <c r="AM285" s="58">
        <v>0</v>
      </c>
      <c r="AN285" s="50">
        <f>SUM(AL285,AM285)</f>
        <v>0</v>
      </c>
      <c r="AO285" s="59">
        <f>AN285/AN286*100</f>
        <v>0</v>
      </c>
    </row>
    <row r="286" spans="2:41" x14ac:dyDescent="0.25">
      <c r="B286" s="263" t="s">
        <v>32</v>
      </c>
      <c r="C286" s="358" t="s">
        <v>55</v>
      </c>
      <c r="D286" s="264">
        <v>0</v>
      </c>
      <c r="E286" s="264">
        <v>0</v>
      </c>
      <c r="F286" s="359"/>
      <c r="G286" s="266">
        <v>0</v>
      </c>
      <c r="I286" s="263" t="s">
        <v>32</v>
      </c>
      <c r="J286" s="358" t="s">
        <v>55</v>
      </c>
      <c r="K286" s="264">
        <v>0</v>
      </c>
      <c r="L286" s="264">
        <v>0</v>
      </c>
      <c r="M286" s="359"/>
      <c r="N286" s="266">
        <v>0</v>
      </c>
      <c r="P286" s="263" t="s">
        <v>32</v>
      </c>
      <c r="Q286" s="358" t="s">
        <v>55</v>
      </c>
      <c r="R286" s="264">
        <v>0</v>
      </c>
      <c r="S286" s="264">
        <v>0</v>
      </c>
      <c r="T286" s="359"/>
      <c r="U286" s="266">
        <v>0</v>
      </c>
      <c r="W286" s="360" t="s">
        <v>32</v>
      </c>
      <c r="X286" s="358" t="s">
        <v>55</v>
      </c>
      <c r="Y286" s="264">
        <v>0</v>
      </c>
      <c r="Z286" s="264">
        <v>0</v>
      </c>
      <c r="AA286" s="359"/>
      <c r="AB286" s="266">
        <v>0</v>
      </c>
      <c r="AD286" s="260"/>
      <c r="AE286" s="361" t="s">
        <v>55</v>
      </c>
      <c r="AF286" s="261">
        <v>0</v>
      </c>
      <c r="AG286" s="261"/>
      <c r="AH286" s="261"/>
      <c r="AI286" s="357"/>
      <c r="AK286" s="56" t="s">
        <v>27</v>
      </c>
      <c r="AL286" s="64">
        <f>SUM(AL283:AL285)</f>
        <v>51</v>
      </c>
      <c r="AM286" s="64">
        <f>SUM(AM283:AM285)</f>
        <v>0</v>
      </c>
      <c r="AN286" s="50">
        <f>SUM(AL283:AM285)</f>
        <v>51</v>
      </c>
      <c r="AO286" s="59"/>
    </row>
    <row r="287" spans="2:41" x14ac:dyDescent="0.25">
      <c r="B287" s="274"/>
      <c r="C287" s="256" t="s">
        <v>185</v>
      </c>
      <c r="D287" s="300">
        <v>0</v>
      </c>
      <c r="E287" s="300">
        <v>0</v>
      </c>
      <c r="F287" s="343"/>
      <c r="G287" s="277"/>
      <c r="I287" s="274"/>
      <c r="J287" s="256" t="s">
        <v>185</v>
      </c>
      <c r="K287" s="300">
        <v>0</v>
      </c>
      <c r="L287" s="300">
        <v>0</v>
      </c>
      <c r="M287" s="343"/>
      <c r="N287" s="277"/>
      <c r="P287" s="274"/>
      <c r="Q287" s="256" t="s">
        <v>185</v>
      </c>
      <c r="R287" s="300">
        <v>0</v>
      </c>
      <c r="S287" s="300">
        <v>0</v>
      </c>
      <c r="T287" s="343"/>
      <c r="U287" s="277"/>
      <c r="W287" s="255"/>
      <c r="X287" s="256" t="s">
        <v>185</v>
      </c>
      <c r="Y287" s="300">
        <v>0</v>
      </c>
      <c r="Z287" s="300">
        <v>0</v>
      </c>
      <c r="AA287" s="343"/>
      <c r="AB287" s="277"/>
      <c r="AD287" s="279"/>
      <c r="AE287" s="346" t="s">
        <v>185</v>
      </c>
      <c r="AF287" s="347">
        <v>0</v>
      </c>
      <c r="AG287" s="347"/>
      <c r="AH287" s="362"/>
      <c r="AI287" s="363"/>
      <c r="AK287" s="56" t="s">
        <v>28</v>
      </c>
      <c r="AL287" s="64">
        <f>AL286/AN286*100</f>
        <v>100</v>
      </c>
      <c r="AM287" s="59">
        <f>AM286/AN286*100</f>
        <v>0</v>
      </c>
      <c r="AN287" s="59"/>
      <c r="AO287" s="59"/>
    </row>
    <row r="288" spans="2:41" ht="15.75" thickBot="1" x14ac:dyDescent="0.3">
      <c r="B288" s="284"/>
      <c r="C288" s="285"/>
      <c r="D288" s="285">
        <v>23</v>
      </c>
      <c r="E288" s="285">
        <v>0</v>
      </c>
      <c r="F288" s="349"/>
      <c r="G288" s="287">
        <v>23</v>
      </c>
      <c r="I288" s="284"/>
      <c r="J288" s="285"/>
      <c r="K288" s="285">
        <v>12</v>
      </c>
      <c r="L288" s="285">
        <v>0</v>
      </c>
      <c r="M288" s="349"/>
      <c r="N288" s="287">
        <v>12</v>
      </c>
      <c r="P288" s="284"/>
      <c r="Q288" s="285"/>
      <c r="R288" s="285">
        <v>9</v>
      </c>
      <c r="S288" s="285">
        <v>0</v>
      </c>
      <c r="T288" s="349"/>
      <c r="U288" s="287">
        <v>9</v>
      </c>
      <c r="W288" s="284"/>
      <c r="X288" s="285"/>
      <c r="Y288" s="285">
        <v>7</v>
      </c>
      <c r="Z288" s="285">
        <v>0</v>
      </c>
      <c r="AA288" s="349"/>
      <c r="AB288" s="287">
        <v>7</v>
      </c>
      <c r="AD288" s="289"/>
      <c r="AE288" s="290"/>
      <c r="AF288" s="290"/>
      <c r="AG288" s="290"/>
      <c r="AH288" s="350"/>
      <c r="AI288" s="292"/>
    </row>
    <row r="289" spans="2:41" x14ac:dyDescent="0.25">
      <c r="B289" s="179"/>
      <c r="C289" s="6"/>
      <c r="D289" s="6"/>
      <c r="E289" s="179"/>
      <c r="F289" s="6"/>
      <c r="G289" s="6"/>
      <c r="I289" s="179"/>
      <c r="J289" s="6"/>
      <c r="K289" s="6"/>
      <c r="L289" s="179"/>
      <c r="M289" s="6"/>
      <c r="N289" s="6"/>
      <c r="P289" s="179"/>
      <c r="Q289" s="6"/>
      <c r="R289" s="6"/>
      <c r="S289" s="179"/>
      <c r="T289" s="6"/>
      <c r="U289" s="6"/>
      <c r="W289" s="179"/>
      <c r="X289" s="6"/>
      <c r="Y289" s="6"/>
      <c r="Z289" s="179"/>
      <c r="AA289" s="6"/>
      <c r="AB289" s="6"/>
      <c r="AD289" s="217"/>
      <c r="AE289" s="5"/>
      <c r="AF289" s="5"/>
      <c r="AG289" s="217"/>
      <c r="AH289" s="5"/>
      <c r="AI289" s="5"/>
    </row>
    <row r="290" spans="2:41" ht="19.5" thickBot="1" x14ac:dyDescent="0.35">
      <c r="B290" s="15" t="s">
        <v>186</v>
      </c>
      <c r="C290" s="204" t="s">
        <v>187</v>
      </c>
      <c r="D290" s="12"/>
      <c r="E290" s="15"/>
      <c r="F290" s="15"/>
      <c r="G290" s="15"/>
      <c r="I290" s="15" t="s">
        <v>186</v>
      </c>
      <c r="J290" s="204" t="s">
        <v>187</v>
      </c>
      <c r="K290" s="15"/>
      <c r="L290" s="12"/>
      <c r="M290" s="15"/>
      <c r="N290" s="15"/>
      <c r="P290" s="15" t="s">
        <v>186</v>
      </c>
      <c r="Q290" s="204" t="s">
        <v>187</v>
      </c>
      <c r="R290" s="15"/>
      <c r="S290" s="12"/>
      <c r="T290" s="15"/>
      <c r="U290" s="15"/>
      <c r="W290" s="15" t="s">
        <v>186</v>
      </c>
      <c r="X290" s="204" t="s">
        <v>187</v>
      </c>
      <c r="Y290" s="15"/>
      <c r="Z290" s="12"/>
      <c r="AA290" s="15"/>
      <c r="AB290" s="15"/>
      <c r="AD290" s="139" t="s">
        <v>188</v>
      </c>
      <c r="AE290" s="141"/>
      <c r="AF290" s="139"/>
      <c r="AG290" s="139"/>
      <c r="AH290" s="139"/>
      <c r="AI290" s="139"/>
      <c r="AK290" s="9" t="s">
        <v>189</v>
      </c>
    </row>
    <row r="291" spans="2:41" ht="30" x14ac:dyDescent="0.25">
      <c r="B291" s="20" t="s">
        <v>22</v>
      </c>
      <c r="C291" s="21" t="s">
        <v>23</v>
      </c>
      <c r="D291" s="21" t="s">
        <v>24</v>
      </c>
      <c r="E291" s="21" t="s">
        <v>25</v>
      </c>
      <c r="F291" s="22" t="s">
        <v>26</v>
      </c>
      <c r="G291" s="23" t="s">
        <v>27</v>
      </c>
      <c r="I291" s="20" t="s">
        <v>22</v>
      </c>
      <c r="J291" s="21" t="s">
        <v>23</v>
      </c>
      <c r="K291" s="21" t="s">
        <v>24</v>
      </c>
      <c r="L291" s="21" t="s">
        <v>25</v>
      </c>
      <c r="M291" s="22" t="s">
        <v>26</v>
      </c>
      <c r="N291" s="23" t="s">
        <v>27</v>
      </c>
      <c r="P291" s="20" t="s">
        <v>22</v>
      </c>
      <c r="Q291" s="21" t="s">
        <v>23</v>
      </c>
      <c r="R291" s="21" t="s">
        <v>24</v>
      </c>
      <c r="S291" s="21" t="s">
        <v>25</v>
      </c>
      <c r="T291" s="22" t="s">
        <v>26</v>
      </c>
      <c r="U291" s="23" t="s">
        <v>27</v>
      </c>
      <c r="W291" s="20" t="s">
        <v>22</v>
      </c>
      <c r="X291" s="21" t="s">
        <v>23</v>
      </c>
      <c r="Y291" s="21" t="s">
        <v>24</v>
      </c>
      <c r="Z291" s="21" t="s">
        <v>25</v>
      </c>
      <c r="AA291" s="22" t="s">
        <v>26</v>
      </c>
      <c r="AB291" s="23" t="s">
        <v>27</v>
      </c>
      <c r="AD291" s="20" t="s">
        <v>22</v>
      </c>
      <c r="AE291" s="21" t="s">
        <v>23</v>
      </c>
      <c r="AF291" s="21" t="s">
        <v>24</v>
      </c>
      <c r="AG291" s="21" t="s">
        <v>25</v>
      </c>
      <c r="AH291" s="22" t="s">
        <v>26</v>
      </c>
      <c r="AI291" s="23" t="s">
        <v>27</v>
      </c>
      <c r="AK291" s="25"/>
      <c r="AL291" s="26" t="s">
        <v>24</v>
      </c>
      <c r="AM291" s="27" t="s">
        <v>25</v>
      </c>
      <c r="AN291" s="27" t="s">
        <v>27</v>
      </c>
      <c r="AO291" s="28" t="s">
        <v>28</v>
      </c>
    </row>
    <row r="292" spans="2:41" x14ac:dyDescent="0.25">
      <c r="B292" s="263" t="s">
        <v>29</v>
      </c>
      <c r="C292" s="264" t="s">
        <v>82</v>
      </c>
      <c r="D292" s="272">
        <v>0</v>
      </c>
      <c r="E292" s="298">
        <v>0</v>
      </c>
      <c r="F292" s="338"/>
      <c r="G292" s="266">
        <v>23</v>
      </c>
      <c r="I292" s="263" t="s">
        <v>29</v>
      </c>
      <c r="J292" s="264" t="s">
        <v>82</v>
      </c>
      <c r="K292" s="272">
        <v>0</v>
      </c>
      <c r="L292" s="298">
        <v>0</v>
      </c>
      <c r="M292" s="338"/>
      <c r="N292" s="266">
        <v>12</v>
      </c>
      <c r="P292" s="263" t="s">
        <v>29</v>
      </c>
      <c r="Q292" s="264" t="s">
        <v>82</v>
      </c>
      <c r="R292" s="272">
        <v>0</v>
      </c>
      <c r="S292" s="298">
        <v>0</v>
      </c>
      <c r="T292" s="338"/>
      <c r="U292" s="266">
        <v>8</v>
      </c>
      <c r="W292" s="263" t="s">
        <v>29</v>
      </c>
      <c r="X292" s="264" t="s">
        <v>82</v>
      </c>
      <c r="Y292" s="270">
        <v>1</v>
      </c>
      <c r="Z292" s="298">
        <v>0</v>
      </c>
      <c r="AA292" s="338"/>
      <c r="AB292" s="266">
        <v>7</v>
      </c>
      <c r="AD292" s="260"/>
      <c r="AE292" s="261" t="s">
        <v>82</v>
      </c>
      <c r="AF292" s="273">
        <v>0</v>
      </c>
      <c r="AG292" s="339"/>
      <c r="AH292" s="339"/>
      <c r="AI292" s="262"/>
      <c r="AK292" s="38" t="s">
        <v>29</v>
      </c>
      <c r="AL292" s="39">
        <v>50</v>
      </c>
      <c r="AM292" s="40">
        <v>0</v>
      </c>
      <c r="AN292" s="32">
        <f>SUM(AL292,AM292)</f>
        <v>50</v>
      </c>
      <c r="AO292" s="41">
        <f>AN292/AN294*100</f>
        <v>98.039215686274503</v>
      </c>
    </row>
    <row r="293" spans="2:41" x14ac:dyDescent="0.25">
      <c r="B293" s="269"/>
      <c r="C293" s="264">
        <v>2</v>
      </c>
      <c r="D293" s="270">
        <v>7</v>
      </c>
      <c r="E293" s="298">
        <v>0</v>
      </c>
      <c r="F293" s="338"/>
      <c r="G293" s="271"/>
      <c r="I293" s="269"/>
      <c r="J293" s="264">
        <v>2</v>
      </c>
      <c r="K293" s="270">
        <v>1</v>
      </c>
      <c r="L293" s="298">
        <v>0</v>
      </c>
      <c r="M293" s="338"/>
      <c r="N293" s="271"/>
      <c r="P293" s="269"/>
      <c r="Q293" s="264">
        <v>2</v>
      </c>
      <c r="R293" s="270">
        <v>2</v>
      </c>
      <c r="S293" s="298">
        <v>0</v>
      </c>
      <c r="T293" s="338"/>
      <c r="U293" s="271"/>
      <c r="W293" s="269"/>
      <c r="X293" s="264">
        <v>2</v>
      </c>
      <c r="Y293" s="270">
        <v>4</v>
      </c>
      <c r="Z293" s="298">
        <v>0</v>
      </c>
      <c r="AA293" s="338"/>
      <c r="AB293" s="271"/>
      <c r="AD293" s="260"/>
      <c r="AE293" s="261">
        <v>2</v>
      </c>
      <c r="AF293" s="273">
        <v>3</v>
      </c>
      <c r="AG293" s="339"/>
      <c r="AH293" s="339"/>
      <c r="AI293" s="262"/>
      <c r="AK293" s="56" t="s">
        <v>32</v>
      </c>
      <c r="AL293" s="57">
        <v>1</v>
      </c>
      <c r="AM293" s="58">
        <v>0</v>
      </c>
      <c r="AN293" s="50">
        <f>SUM(AL293,AM293)</f>
        <v>1</v>
      </c>
      <c r="AO293" s="59">
        <f>AN293/AN294*100</f>
        <v>1.9607843137254901</v>
      </c>
    </row>
    <row r="294" spans="2:41" x14ac:dyDescent="0.25">
      <c r="B294" s="269"/>
      <c r="C294" s="264">
        <v>4</v>
      </c>
      <c r="D294" s="270">
        <v>15</v>
      </c>
      <c r="E294" s="298">
        <v>0</v>
      </c>
      <c r="F294" s="338"/>
      <c r="G294" s="271"/>
      <c r="I294" s="269"/>
      <c r="J294" s="264">
        <v>4</v>
      </c>
      <c r="K294" s="270">
        <v>11</v>
      </c>
      <c r="L294" s="298">
        <v>0</v>
      </c>
      <c r="M294" s="338"/>
      <c r="N294" s="271"/>
      <c r="P294" s="269"/>
      <c r="Q294" s="264">
        <v>4</v>
      </c>
      <c r="R294" s="270">
        <v>5</v>
      </c>
      <c r="S294" s="298">
        <v>0</v>
      </c>
      <c r="T294" s="338"/>
      <c r="U294" s="271"/>
      <c r="W294" s="269"/>
      <c r="X294" s="264">
        <v>4</v>
      </c>
      <c r="Y294" s="270">
        <v>1</v>
      </c>
      <c r="Z294" s="298">
        <v>0</v>
      </c>
      <c r="AA294" s="338"/>
      <c r="AB294" s="271"/>
      <c r="AD294" s="260"/>
      <c r="AE294" s="261">
        <v>4</v>
      </c>
      <c r="AF294" s="273">
        <v>1</v>
      </c>
      <c r="AG294" s="339"/>
      <c r="AH294" s="339"/>
      <c r="AI294" s="262"/>
      <c r="AK294" s="56" t="s">
        <v>27</v>
      </c>
      <c r="AL294" s="64">
        <f>SUM(AL292,AL293)</f>
        <v>51</v>
      </c>
      <c r="AM294" s="50">
        <f>SUM(AM292,AM293)</f>
        <v>0</v>
      </c>
      <c r="AN294" s="50">
        <f>SUM(AL292:AM293)</f>
        <v>51</v>
      </c>
      <c r="AO294" s="59"/>
    </row>
    <row r="295" spans="2:41" x14ac:dyDescent="0.25">
      <c r="B295" s="274"/>
      <c r="C295" s="256">
        <v>8</v>
      </c>
      <c r="D295" s="259">
        <v>1</v>
      </c>
      <c r="E295" s="340">
        <v>0</v>
      </c>
      <c r="F295" s="341"/>
      <c r="G295" s="277"/>
      <c r="I295" s="274"/>
      <c r="J295" s="256">
        <v>8</v>
      </c>
      <c r="K295" s="300">
        <v>0</v>
      </c>
      <c r="L295" s="340">
        <v>0</v>
      </c>
      <c r="M295" s="341"/>
      <c r="N295" s="277"/>
      <c r="P295" s="274"/>
      <c r="Q295" s="256">
        <v>8</v>
      </c>
      <c r="R295" s="259">
        <v>1</v>
      </c>
      <c r="S295" s="340">
        <v>0</v>
      </c>
      <c r="T295" s="341"/>
      <c r="U295" s="277"/>
      <c r="W295" s="274"/>
      <c r="X295" s="256">
        <v>8</v>
      </c>
      <c r="Y295" s="259">
        <v>1</v>
      </c>
      <c r="Z295" s="340">
        <v>0</v>
      </c>
      <c r="AA295" s="341"/>
      <c r="AB295" s="277"/>
      <c r="AD295" s="260"/>
      <c r="AE295" s="261">
        <v>8</v>
      </c>
      <c r="AF295" s="273">
        <v>0</v>
      </c>
      <c r="AG295" s="339"/>
      <c r="AH295" s="339"/>
      <c r="AI295" s="262"/>
      <c r="AK295" s="56" t="s">
        <v>28</v>
      </c>
      <c r="AL295" s="64">
        <f>AL294/AN294*100</f>
        <v>100</v>
      </c>
      <c r="AM295" s="59">
        <f>AM294/AN294*100</f>
        <v>0</v>
      </c>
      <c r="AN295" s="59"/>
      <c r="AO295" s="59"/>
    </row>
    <row r="296" spans="2:41" ht="15" customHeight="1" x14ac:dyDescent="0.25">
      <c r="B296" s="263" t="s">
        <v>32</v>
      </c>
      <c r="C296" s="264">
        <v>16</v>
      </c>
      <c r="D296" s="298">
        <v>0</v>
      </c>
      <c r="E296" s="264">
        <v>0</v>
      </c>
      <c r="F296" s="359"/>
      <c r="G296" s="266">
        <v>0</v>
      </c>
      <c r="I296" s="263" t="s">
        <v>32</v>
      </c>
      <c r="J296" s="264">
        <v>16</v>
      </c>
      <c r="K296" s="298">
        <v>0</v>
      </c>
      <c r="L296" s="264">
        <v>0</v>
      </c>
      <c r="M296" s="359"/>
      <c r="N296" s="266">
        <v>0</v>
      </c>
      <c r="P296" s="263" t="s">
        <v>32</v>
      </c>
      <c r="Q296" s="264">
        <v>16</v>
      </c>
      <c r="R296" s="267">
        <v>1</v>
      </c>
      <c r="S296" s="264">
        <v>0</v>
      </c>
      <c r="T296" s="359"/>
      <c r="U296" s="266">
        <v>1</v>
      </c>
      <c r="W296" s="263" t="s">
        <v>32</v>
      </c>
      <c r="X296" s="264">
        <v>16</v>
      </c>
      <c r="Y296" s="298">
        <v>0</v>
      </c>
      <c r="Z296" s="264">
        <v>0</v>
      </c>
      <c r="AA296" s="359"/>
      <c r="AB296" s="266">
        <v>0</v>
      </c>
      <c r="AD296" s="260"/>
      <c r="AE296" s="261">
        <v>16</v>
      </c>
      <c r="AF296" s="339">
        <v>0</v>
      </c>
      <c r="AG296" s="261"/>
      <c r="AH296" s="261"/>
      <c r="AI296" s="357"/>
    </row>
    <row r="297" spans="2:41" x14ac:dyDescent="0.25">
      <c r="B297" s="269"/>
      <c r="C297" s="264">
        <v>32</v>
      </c>
      <c r="D297" s="264">
        <v>0</v>
      </c>
      <c r="E297" s="264">
        <v>0</v>
      </c>
      <c r="F297" s="359"/>
      <c r="G297" s="271"/>
      <c r="I297" s="269"/>
      <c r="J297" s="264">
        <v>32</v>
      </c>
      <c r="K297" s="264">
        <v>0</v>
      </c>
      <c r="L297" s="264">
        <v>0</v>
      </c>
      <c r="M297" s="359"/>
      <c r="N297" s="271"/>
      <c r="P297" s="269"/>
      <c r="Q297" s="264">
        <v>32</v>
      </c>
      <c r="R297" s="264">
        <v>0</v>
      </c>
      <c r="S297" s="264">
        <v>0</v>
      </c>
      <c r="T297" s="359"/>
      <c r="U297" s="271"/>
      <c r="W297" s="269"/>
      <c r="X297" s="264">
        <v>32</v>
      </c>
      <c r="Y297" s="264">
        <v>0</v>
      </c>
      <c r="Z297" s="264">
        <v>0</v>
      </c>
      <c r="AA297" s="359"/>
      <c r="AB297" s="271"/>
      <c r="AD297" s="260"/>
      <c r="AE297" s="261">
        <v>32</v>
      </c>
      <c r="AF297" s="261">
        <v>0</v>
      </c>
      <c r="AG297" s="261"/>
      <c r="AH297" s="261"/>
      <c r="AI297" s="357"/>
    </row>
    <row r="298" spans="2:41" x14ac:dyDescent="0.25">
      <c r="B298" s="274"/>
      <c r="C298" s="256" t="s">
        <v>101</v>
      </c>
      <c r="D298" s="256">
        <v>0</v>
      </c>
      <c r="E298" s="300">
        <v>0</v>
      </c>
      <c r="F298" s="343"/>
      <c r="G298" s="277"/>
      <c r="I298" s="274"/>
      <c r="J298" s="256" t="s">
        <v>101</v>
      </c>
      <c r="K298" s="256">
        <v>0</v>
      </c>
      <c r="L298" s="300">
        <v>0</v>
      </c>
      <c r="M298" s="343"/>
      <c r="N298" s="277"/>
      <c r="P298" s="274"/>
      <c r="Q298" s="256" t="s">
        <v>101</v>
      </c>
      <c r="R298" s="256">
        <v>0</v>
      </c>
      <c r="S298" s="300">
        <v>0</v>
      </c>
      <c r="T298" s="343"/>
      <c r="U298" s="277"/>
      <c r="W298" s="274"/>
      <c r="X298" s="256" t="s">
        <v>101</v>
      </c>
      <c r="Y298" s="256">
        <v>0</v>
      </c>
      <c r="Z298" s="300">
        <v>0</v>
      </c>
      <c r="AA298" s="343"/>
      <c r="AB298" s="277"/>
      <c r="AD298" s="279"/>
      <c r="AE298" s="346" t="s">
        <v>101</v>
      </c>
      <c r="AF298" s="346">
        <v>0</v>
      </c>
      <c r="AG298" s="347"/>
      <c r="AH298" s="362"/>
      <c r="AI298" s="363"/>
    </row>
    <row r="299" spans="2:41" ht="15.75" thickBot="1" x14ac:dyDescent="0.3">
      <c r="B299" s="284"/>
      <c r="C299" s="285"/>
      <c r="D299" s="285">
        <v>23</v>
      </c>
      <c r="E299" s="285">
        <v>0</v>
      </c>
      <c r="F299" s="349"/>
      <c r="G299" s="287">
        <v>23</v>
      </c>
      <c r="I299" s="284"/>
      <c r="J299" s="285"/>
      <c r="K299" s="285">
        <v>12</v>
      </c>
      <c r="L299" s="285">
        <v>0</v>
      </c>
      <c r="M299" s="349"/>
      <c r="N299" s="287">
        <v>12</v>
      </c>
      <c r="P299" s="284"/>
      <c r="Q299" s="285"/>
      <c r="R299" s="285">
        <v>9</v>
      </c>
      <c r="S299" s="285">
        <v>0</v>
      </c>
      <c r="T299" s="349"/>
      <c r="U299" s="287">
        <v>9</v>
      </c>
      <c r="W299" s="284"/>
      <c r="X299" s="285"/>
      <c r="Y299" s="285">
        <v>7</v>
      </c>
      <c r="Z299" s="285">
        <v>0</v>
      </c>
      <c r="AA299" s="349"/>
      <c r="AB299" s="287">
        <v>7</v>
      </c>
      <c r="AD299" s="289"/>
      <c r="AE299" s="290"/>
      <c r="AF299" s="290"/>
      <c r="AG299" s="290"/>
      <c r="AH299" s="350"/>
      <c r="AI299" s="292"/>
    </row>
    <row r="300" spans="2:41" x14ac:dyDescent="0.25">
      <c r="B300" s="6"/>
      <c r="C300" s="6"/>
      <c r="D300" s="6"/>
      <c r="E300" s="6"/>
      <c r="F300" s="6"/>
      <c r="G300" s="6"/>
      <c r="I300" s="6"/>
      <c r="J300" s="6"/>
      <c r="K300" s="6"/>
      <c r="L300" s="6"/>
      <c r="M300" s="6"/>
      <c r="N300" s="6"/>
      <c r="P300" s="6"/>
      <c r="Q300" s="6"/>
      <c r="R300" s="6"/>
      <c r="S300" s="6"/>
      <c r="T300" s="6"/>
      <c r="U300" s="6"/>
      <c r="W300" s="6"/>
      <c r="X300" s="6"/>
      <c r="Y300" s="6"/>
      <c r="Z300" s="6"/>
      <c r="AA300" s="6"/>
      <c r="AB300" s="6"/>
      <c r="AD300" s="6"/>
      <c r="AE300" s="6"/>
      <c r="AF300" s="6"/>
      <c r="AG300" s="6"/>
      <c r="AH300" s="6"/>
      <c r="AI300" s="6"/>
    </row>
    <row r="301" spans="2:41" ht="19.5" thickBot="1" x14ac:dyDescent="0.35">
      <c r="B301" s="15" t="s">
        <v>190</v>
      </c>
      <c r="C301" s="204" t="s">
        <v>187</v>
      </c>
      <c r="D301" s="12"/>
      <c r="E301" s="15"/>
      <c r="F301" s="15"/>
      <c r="G301" s="15"/>
      <c r="I301" s="15" t="s">
        <v>190</v>
      </c>
      <c r="J301" s="204" t="s">
        <v>187</v>
      </c>
      <c r="K301" s="15"/>
      <c r="L301" s="12"/>
      <c r="M301" s="15"/>
      <c r="N301" s="15"/>
      <c r="P301" s="15" t="s">
        <v>190</v>
      </c>
      <c r="Q301" s="204" t="s">
        <v>187</v>
      </c>
      <c r="R301" s="15"/>
      <c r="S301" s="12"/>
      <c r="T301" s="15"/>
      <c r="U301" s="15"/>
      <c r="W301" s="15" t="s">
        <v>191</v>
      </c>
      <c r="X301" s="204" t="s">
        <v>187</v>
      </c>
      <c r="Y301" s="15"/>
      <c r="Z301" s="12"/>
      <c r="AA301" s="15"/>
      <c r="AB301" s="15"/>
      <c r="AD301" s="15" t="s">
        <v>191</v>
      </c>
      <c r="AE301" s="16"/>
      <c r="AF301" s="12"/>
      <c r="AG301" s="15"/>
      <c r="AH301" s="15"/>
      <c r="AI301" s="15"/>
      <c r="AK301" s="9" t="s">
        <v>192</v>
      </c>
    </row>
    <row r="302" spans="2:41" ht="30" x14ac:dyDescent="0.25">
      <c r="B302" s="20" t="s">
        <v>22</v>
      </c>
      <c r="C302" s="21" t="s">
        <v>23</v>
      </c>
      <c r="D302" s="21" t="s">
        <v>24</v>
      </c>
      <c r="E302" s="21" t="s">
        <v>25</v>
      </c>
      <c r="F302" s="22" t="s">
        <v>26</v>
      </c>
      <c r="G302" s="23" t="s">
        <v>27</v>
      </c>
      <c r="I302" s="20" t="s">
        <v>22</v>
      </c>
      <c r="J302" s="21" t="s">
        <v>23</v>
      </c>
      <c r="K302" s="21" t="s">
        <v>24</v>
      </c>
      <c r="L302" s="21" t="s">
        <v>25</v>
      </c>
      <c r="M302" s="22" t="s">
        <v>26</v>
      </c>
      <c r="N302" s="23" t="s">
        <v>27</v>
      </c>
      <c r="P302" s="20" t="s">
        <v>22</v>
      </c>
      <c r="Q302" s="21" t="s">
        <v>23</v>
      </c>
      <c r="R302" s="21" t="s">
        <v>24</v>
      </c>
      <c r="S302" s="21" t="s">
        <v>25</v>
      </c>
      <c r="T302" s="22" t="s">
        <v>26</v>
      </c>
      <c r="U302" s="23" t="s">
        <v>27</v>
      </c>
      <c r="W302" s="20" t="s">
        <v>22</v>
      </c>
      <c r="X302" s="21" t="s">
        <v>23</v>
      </c>
      <c r="Y302" s="21" t="s">
        <v>24</v>
      </c>
      <c r="Z302" s="21" t="s">
        <v>25</v>
      </c>
      <c r="AA302" s="22" t="s">
        <v>26</v>
      </c>
      <c r="AB302" s="23" t="s">
        <v>27</v>
      </c>
      <c r="AD302" s="20" t="s">
        <v>22</v>
      </c>
      <c r="AE302" s="21" t="s">
        <v>23</v>
      </c>
      <c r="AF302" s="21" t="s">
        <v>24</v>
      </c>
      <c r="AG302" s="21" t="s">
        <v>25</v>
      </c>
      <c r="AH302" s="22" t="s">
        <v>26</v>
      </c>
      <c r="AI302" s="23" t="s">
        <v>27</v>
      </c>
      <c r="AK302" s="25"/>
      <c r="AL302" s="26" t="s">
        <v>24</v>
      </c>
      <c r="AM302" s="27" t="s">
        <v>25</v>
      </c>
      <c r="AN302" s="27" t="s">
        <v>27</v>
      </c>
      <c r="AO302" s="28" t="s">
        <v>28</v>
      </c>
    </row>
    <row r="303" spans="2:41" x14ac:dyDescent="0.25">
      <c r="B303" s="263" t="s">
        <v>29</v>
      </c>
      <c r="C303" s="364" t="s">
        <v>103</v>
      </c>
      <c r="D303" s="365">
        <v>2</v>
      </c>
      <c r="E303" s="366">
        <v>0</v>
      </c>
      <c r="F303" s="367"/>
      <c r="G303" s="266">
        <v>23</v>
      </c>
      <c r="I303" s="263" t="s">
        <v>29</v>
      </c>
      <c r="J303" s="364" t="s">
        <v>103</v>
      </c>
      <c r="K303" s="365">
        <v>12</v>
      </c>
      <c r="L303" s="366">
        <v>0</v>
      </c>
      <c r="M303" s="367"/>
      <c r="N303" s="266">
        <v>12</v>
      </c>
      <c r="P303" s="263" t="s">
        <v>29</v>
      </c>
      <c r="Q303" s="364" t="s">
        <v>103</v>
      </c>
      <c r="R303" s="365">
        <v>9</v>
      </c>
      <c r="S303" s="366">
        <v>0</v>
      </c>
      <c r="T303" s="367"/>
      <c r="U303" s="266">
        <v>9</v>
      </c>
      <c r="W303" s="263" t="s">
        <v>29</v>
      </c>
      <c r="X303" s="364" t="s">
        <v>103</v>
      </c>
      <c r="Y303" s="365">
        <v>4</v>
      </c>
      <c r="Z303" s="366">
        <v>0</v>
      </c>
      <c r="AA303" s="367"/>
      <c r="AB303" s="266">
        <v>6</v>
      </c>
      <c r="AD303" s="263" t="s">
        <v>29</v>
      </c>
      <c r="AE303" s="364" t="s">
        <v>103</v>
      </c>
      <c r="AF303" s="365">
        <v>2</v>
      </c>
      <c r="AG303" s="366">
        <v>0</v>
      </c>
      <c r="AH303" s="367"/>
      <c r="AI303" s="266">
        <v>4</v>
      </c>
      <c r="AK303" s="38" t="s">
        <v>29</v>
      </c>
      <c r="AL303" s="39">
        <v>54</v>
      </c>
      <c r="AM303" s="40">
        <v>0</v>
      </c>
      <c r="AN303" s="32">
        <f>SUM(AL303,AM303)</f>
        <v>54</v>
      </c>
      <c r="AO303" s="41">
        <f>AN303/AN306*100</f>
        <v>98.181818181818187</v>
      </c>
    </row>
    <row r="304" spans="2:41" x14ac:dyDescent="0.25">
      <c r="B304" s="269"/>
      <c r="C304" s="264">
        <v>0.06</v>
      </c>
      <c r="D304" s="270">
        <v>21</v>
      </c>
      <c r="E304" s="298">
        <v>0</v>
      </c>
      <c r="F304" s="338"/>
      <c r="G304" s="271"/>
      <c r="I304" s="269"/>
      <c r="J304" s="264">
        <v>0.06</v>
      </c>
      <c r="K304" s="272">
        <v>0</v>
      </c>
      <c r="L304" s="298">
        <v>0</v>
      </c>
      <c r="M304" s="338"/>
      <c r="N304" s="271"/>
      <c r="P304" s="269"/>
      <c r="Q304" s="264">
        <v>0.06</v>
      </c>
      <c r="R304" s="272">
        <v>0</v>
      </c>
      <c r="S304" s="298">
        <v>0</v>
      </c>
      <c r="T304" s="338"/>
      <c r="U304" s="271"/>
      <c r="W304" s="274"/>
      <c r="X304" s="256">
        <v>0.06</v>
      </c>
      <c r="Y304" s="259">
        <v>2</v>
      </c>
      <c r="Z304" s="368">
        <v>0</v>
      </c>
      <c r="AA304" s="369"/>
      <c r="AB304" s="277"/>
      <c r="AD304" s="269"/>
      <c r="AE304" s="264">
        <v>0.06</v>
      </c>
      <c r="AF304" s="270">
        <v>1</v>
      </c>
      <c r="AG304" s="298">
        <v>0</v>
      </c>
      <c r="AH304" s="338"/>
      <c r="AI304" s="271"/>
      <c r="AK304" s="38" t="s">
        <v>31</v>
      </c>
      <c r="AL304" s="2">
        <v>1</v>
      </c>
      <c r="AM304" s="3">
        <v>0</v>
      </c>
      <c r="AN304" s="38">
        <v>1</v>
      </c>
      <c r="AO304" s="41">
        <f>AN304/AN306*100</f>
        <v>1.8181818181818181</v>
      </c>
    </row>
    <row r="305" spans="2:41" x14ac:dyDescent="0.25">
      <c r="B305" s="269"/>
      <c r="C305" s="264">
        <v>0.12</v>
      </c>
      <c r="D305" s="272">
        <v>0</v>
      </c>
      <c r="E305" s="298">
        <v>0</v>
      </c>
      <c r="F305" s="338"/>
      <c r="G305" s="271"/>
      <c r="I305" s="269"/>
      <c r="J305" s="264">
        <v>0.12</v>
      </c>
      <c r="K305" s="272">
        <v>0</v>
      </c>
      <c r="L305" s="298">
        <v>0</v>
      </c>
      <c r="M305" s="338"/>
      <c r="N305" s="271"/>
      <c r="P305" s="269"/>
      <c r="Q305" s="264">
        <v>0.12</v>
      </c>
      <c r="R305" s="272">
        <v>0</v>
      </c>
      <c r="S305" s="298">
        <v>0</v>
      </c>
      <c r="T305" s="338"/>
      <c r="U305" s="271"/>
      <c r="W305" s="263" t="s">
        <v>31</v>
      </c>
      <c r="X305" s="264">
        <v>0.12</v>
      </c>
      <c r="Y305" s="272">
        <v>0</v>
      </c>
      <c r="Z305" s="298">
        <v>0</v>
      </c>
      <c r="AA305" s="298"/>
      <c r="AB305" s="302">
        <v>1</v>
      </c>
      <c r="AD305" s="269"/>
      <c r="AE305" s="264">
        <v>0.12</v>
      </c>
      <c r="AF305" s="272">
        <v>0</v>
      </c>
      <c r="AG305" s="298">
        <v>0</v>
      </c>
      <c r="AH305" s="338"/>
      <c r="AI305" s="271"/>
      <c r="AK305" s="56" t="s">
        <v>32</v>
      </c>
      <c r="AL305" s="57">
        <v>0</v>
      </c>
      <c r="AM305" s="58">
        <v>0</v>
      </c>
      <c r="AN305" s="50">
        <f>SUM(AL305,AM305)</f>
        <v>0</v>
      </c>
      <c r="AO305" s="59">
        <f>AN305/AN306*100</f>
        <v>0</v>
      </c>
    </row>
    <row r="306" spans="2:41" x14ac:dyDescent="0.25">
      <c r="B306" s="274"/>
      <c r="C306" s="256">
        <v>0.25</v>
      </c>
      <c r="D306" s="300">
        <v>0</v>
      </c>
      <c r="E306" s="256">
        <v>0</v>
      </c>
      <c r="F306" s="354"/>
      <c r="G306" s="277"/>
      <c r="I306" s="274"/>
      <c r="J306" s="256">
        <v>0.25</v>
      </c>
      <c r="K306" s="300">
        <v>0</v>
      </c>
      <c r="L306" s="256">
        <v>0</v>
      </c>
      <c r="M306" s="354"/>
      <c r="N306" s="277"/>
      <c r="P306" s="274"/>
      <c r="Q306" s="256">
        <v>0.25</v>
      </c>
      <c r="R306" s="300">
        <v>0</v>
      </c>
      <c r="S306" s="256">
        <v>0</v>
      </c>
      <c r="T306" s="354"/>
      <c r="U306" s="277"/>
      <c r="W306" s="269"/>
      <c r="X306" s="264">
        <v>0.25</v>
      </c>
      <c r="Y306" s="270">
        <v>1</v>
      </c>
      <c r="Z306" s="264">
        <v>0</v>
      </c>
      <c r="AA306" s="264"/>
      <c r="AB306" s="370"/>
      <c r="AD306" s="274"/>
      <c r="AE306" s="256">
        <v>0.25</v>
      </c>
      <c r="AF306" s="259">
        <v>1</v>
      </c>
      <c r="AG306" s="256">
        <v>0</v>
      </c>
      <c r="AH306" s="354"/>
      <c r="AI306" s="277"/>
      <c r="AK306" s="56" t="s">
        <v>27</v>
      </c>
      <c r="AL306" s="64">
        <f>SUM(AL303:AL305)</f>
        <v>55</v>
      </c>
      <c r="AM306" s="64">
        <f>SUM(AM303:AM305)</f>
        <v>0</v>
      </c>
      <c r="AN306" s="50">
        <f>SUM(AL303:AM305)</f>
        <v>55</v>
      </c>
      <c r="AO306" s="59"/>
    </row>
    <row r="307" spans="2:41" x14ac:dyDescent="0.25">
      <c r="B307" s="269" t="s">
        <v>32</v>
      </c>
      <c r="C307" s="358">
        <v>0.5</v>
      </c>
      <c r="D307" s="264">
        <v>0</v>
      </c>
      <c r="E307" s="264">
        <v>0</v>
      </c>
      <c r="F307" s="359"/>
      <c r="G307" s="271">
        <v>0</v>
      </c>
      <c r="I307" s="269" t="s">
        <v>32</v>
      </c>
      <c r="J307" s="358">
        <v>0.5</v>
      </c>
      <c r="K307" s="264">
        <v>0</v>
      </c>
      <c r="L307" s="264">
        <v>0</v>
      </c>
      <c r="M307" s="359"/>
      <c r="N307" s="271">
        <v>0</v>
      </c>
      <c r="P307" s="269" t="s">
        <v>32</v>
      </c>
      <c r="Q307" s="358">
        <v>0.5</v>
      </c>
      <c r="R307" s="264">
        <v>0</v>
      </c>
      <c r="S307" s="264">
        <v>0</v>
      </c>
      <c r="T307" s="359"/>
      <c r="U307" s="271">
        <v>0</v>
      </c>
      <c r="W307" s="269"/>
      <c r="X307" s="358">
        <v>0.5</v>
      </c>
      <c r="Y307" s="264">
        <v>0</v>
      </c>
      <c r="Z307" s="264">
        <v>0</v>
      </c>
      <c r="AA307" s="264"/>
      <c r="AB307" s="370"/>
      <c r="AD307" s="263" t="s">
        <v>31</v>
      </c>
      <c r="AE307" s="358">
        <v>0.5</v>
      </c>
      <c r="AF307" s="264">
        <v>0</v>
      </c>
      <c r="AG307" s="264">
        <v>0</v>
      </c>
      <c r="AH307" s="359"/>
      <c r="AI307" s="266">
        <v>0</v>
      </c>
      <c r="AK307" s="56" t="s">
        <v>28</v>
      </c>
      <c r="AL307" s="64">
        <f>AL306/AN306*100</f>
        <v>100</v>
      </c>
      <c r="AM307" s="59">
        <f>AM306/AN306*100</f>
        <v>0</v>
      </c>
      <c r="AN307" s="59"/>
      <c r="AO307" s="59"/>
    </row>
    <row r="308" spans="2:41" x14ac:dyDescent="0.25">
      <c r="B308" s="269"/>
      <c r="C308" s="264">
        <v>1</v>
      </c>
      <c r="D308" s="264">
        <v>0</v>
      </c>
      <c r="E308" s="264">
        <v>0</v>
      </c>
      <c r="F308" s="359"/>
      <c r="G308" s="271"/>
      <c r="I308" s="269"/>
      <c r="J308" s="264">
        <v>1</v>
      </c>
      <c r="K308" s="264">
        <v>0</v>
      </c>
      <c r="L308" s="264">
        <v>0</v>
      </c>
      <c r="M308" s="359"/>
      <c r="N308" s="271"/>
      <c r="P308" s="269"/>
      <c r="Q308" s="264">
        <v>1</v>
      </c>
      <c r="R308" s="264">
        <v>0</v>
      </c>
      <c r="S308" s="264">
        <v>0</v>
      </c>
      <c r="T308" s="359"/>
      <c r="U308" s="271"/>
      <c r="W308" s="269"/>
      <c r="X308" s="264">
        <v>1</v>
      </c>
      <c r="Y308" s="264">
        <v>0</v>
      </c>
      <c r="Z308" s="264">
        <v>0</v>
      </c>
      <c r="AA308" s="264"/>
      <c r="AB308" s="370"/>
      <c r="AD308" s="269"/>
      <c r="AE308" s="264">
        <v>1</v>
      </c>
      <c r="AF308" s="264">
        <v>0</v>
      </c>
      <c r="AG308" s="264">
        <v>0</v>
      </c>
      <c r="AH308" s="359"/>
      <c r="AI308" s="271"/>
    </row>
    <row r="309" spans="2:41" x14ac:dyDescent="0.25">
      <c r="B309" s="269"/>
      <c r="C309" s="358">
        <v>2</v>
      </c>
      <c r="D309" s="264">
        <v>0</v>
      </c>
      <c r="E309" s="264">
        <v>0</v>
      </c>
      <c r="F309" s="359"/>
      <c r="G309" s="271"/>
      <c r="I309" s="269"/>
      <c r="J309" s="358">
        <v>2</v>
      </c>
      <c r="K309" s="264">
        <v>0</v>
      </c>
      <c r="L309" s="264">
        <v>0</v>
      </c>
      <c r="M309" s="359"/>
      <c r="N309" s="271"/>
      <c r="P309" s="269"/>
      <c r="Q309" s="358">
        <v>2</v>
      </c>
      <c r="R309" s="264">
        <v>0</v>
      </c>
      <c r="S309" s="264">
        <v>0</v>
      </c>
      <c r="T309" s="359"/>
      <c r="U309" s="271"/>
      <c r="W309" s="274"/>
      <c r="X309" s="371">
        <v>2</v>
      </c>
      <c r="Y309" s="256">
        <v>0</v>
      </c>
      <c r="Z309" s="256">
        <v>0</v>
      </c>
      <c r="AA309" s="256"/>
      <c r="AB309" s="303"/>
      <c r="AD309" s="274"/>
      <c r="AE309" s="371">
        <v>2</v>
      </c>
      <c r="AF309" s="256">
        <v>0</v>
      </c>
      <c r="AG309" s="256">
        <v>0</v>
      </c>
      <c r="AH309" s="354"/>
      <c r="AI309" s="277"/>
    </row>
    <row r="310" spans="2:41" x14ac:dyDescent="0.25">
      <c r="B310" s="269"/>
      <c r="C310" s="264">
        <v>4</v>
      </c>
      <c r="D310" s="264">
        <v>0</v>
      </c>
      <c r="E310" s="264">
        <v>0</v>
      </c>
      <c r="F310" s="359"/>
      <c r="G310" s="271"/>
      <c r="I310" s="269"/>
      <c r="J310" s="264">
        <v>4</v>
      </c>
      <c r="K310" s="264">
        <v>0</v>
      </c>
      <c r="L310" s="264">
        <v>0</v>
      </c>
      <c r="M310" s="359"/>
      <c r="N310" s="271"/>
      <c r="P310" s="269"/>
      <c r="Q310" s="264">
        <v>4</v>
      </c>
      <c r="R310" s="264">
        <v>0</v>
      </c>
      <c r="S310" s="264">
        <v>0</v>
      </c>
      <c r="T310" s="359"/>
      <c r="U310" s="271"/>
      <c r="W310" s="263" t="s">
        <v>32</v>
      </c>
      <c r="X310" s="264">
        <v>4</v>
      </c>
      <c r="Y310" s="264">
        <v>0</v>
      </c>
      <c r="Z310" s="264">
        <v>0</v>
      </c>
      <c r="AA310" s="359"/>
      <c r="AB310" s="266"/>
      <c r="AD310" s="263" t="s">
        <v>32</v>
      </c>
      <c r="AE310" s="264">
        <v>4</v>
      </c>
      <c r="AF310" s="264">
        <v>0</v>
      </c>
      <c r="AG310" s="264">
        <v>0</v>
      </c>
      <c r="AH310" s="359"/>
      <c r="AI310" s="266">
        <v>0</v>
      </c>
    </row>
    <row r="311" spans="2:41" x14ac:dyDescent="0.25">
      <c r="B311" s="274"/>
      <c r="C311" s="256" t="s">
        <v>33</v>
      </c>
      <c r="D311" s="256">
        <v>0</v>
      </c>
      <c r="E311" s="257">
        <v>0</v>
      </c>
      <c r="F311" s="372"/>
      <c r="G311" s="277"/>
      <c r="I311" s="274"/>
      <c r="J311" s="256" t="s">
        <v>33</v>
      </c>
      <c r="K311" s="256">
        <v>0</v>
      </c>
      <c r="L311" s="257">
        <v>0</v>
      </c>
      <c r="M311" s="372"/>
      <c r="N311" s="277"/>
      <c r="P311" s="274"/>
      <c r="Q311" s="256" t="s">
        <v>33</v>
      </c>
      <c r="R311" s="256">
        <v>0</v>
      </c>
      <c r="S311" s="257">
        <v>0</v>
      </c>
      <c r="T311" s="372"/>
      <c r="U311" s="277"/>
      <c r="W311" s="274"/>
      <c r="X311" s="256" t="s">
        <v>33</v>
      </c>
      <c r="Y311" s="256">
        <v>0</v>
      </c>
      <c r="Z311" s="256">
        <v>0</v>
      </c>
      <c r="AA311" s="372"/>
      <c r="AB311" s="277"/>
      <c r="AD311" s="274"/>
      <c r="AE311" s="256" t="s">
        <v>33</v>
      </c>
      <c r="AF311" s="256">
        <v>0</v>
      </c>
      <c r="AG311" s="256">
        <v>0</v>
      </c>
      <c r="AH311" s="372"/>
      <c r="AI311" s="277"/>
    </row>
    <row r="312" spans="2:41" ht="15.75" thickBot="1" x14ac:dyDescent="0.3">
      <c r="B312" s="284"/>
      <c r="C312" s="285"/>
      <c r="D312" s="285">
        <v>23</v>
      </c>
      <c r="E312" s="285">
        <v>0</v>
      </c>
      <c r="F312" s="349"/>
      <c r="G312" s="287">
        <v>23</v>
      </c>
      <c r="I312" s="284"/>
      <c r="J312" s="285"/>
      <c r="K312" s="285">
        <v>12</v>
      </c>
      <c r="L312" s="285"/>
      <c r="M312" s="349"/>
      <c r="N312" s="287">
        <v>12</v>
      </c>
      <c r="P312" s="284"/>
      <c r="Q312" s="285"/>
      <c r="R312" s="285">
        <v>9</v>
      </c>
      <c r="S312" s="285"/>
      <c r="T312" s="349"/>
      <c r="U312" s="287">
        <v>9</v>
      </c>
      <c r="W312" s="284"/>
      <c r="X312" s="285"/>
      <c r="Y312" s="285">
        <v>7</v>
      </c>
      <c r="Z312" s="285">
        <v>0</v>
      </c>
      <c r="AA312" s="349"/>
      <c r="AB312" s="287">
        <v>7</v>
      </c>
      <c r="AD312" s="284"/>
      <c r="AE312" s="285"/>
      <c r="AF312" s="285">
        <v>4</v>
      </c>
      <c r="AG312" s="285">
        <v>0</v>
      </c>
      <c r="AH312" s="349"/>
      <c r="AI312" s="287">
        <v>4</v>
      </c>
    </row>
    <row r="314" spans="2:41" ht="19.5" thickBot="1" x14ac:dyDescent="0.35">
      <c r="B314" s="15" t="s">
        <v>193</v>
      </c>
      <c r="C314" s="16"/>
      <c r="D314" s="12"/>
      <c r="E314" s="15"/>
      <c r="F314" s="15"/>
      <c r="G314" s="15"/>
      <c r="I314" s="15" t="s">
        <v>193</v>
      </c>
      <c r="J314" s="16"/>
      <c r="K314" s="15"/>
      <c r="L314" s="12"/>
      <c r="M314" s="15"/>
      <c r="N314" s="15"/>
      <c r="P314" s="15" t="s">
        <v>193</v>
      </c>
      <c r="Q314" s="16"/>
      <c r="R314" s="15"/>
      <c r="S314" s="12"/>
      <c r="T314" s="15"/>
      <c r="U314" s="15"/>
      <c r="W314" s="15" t="s">
        <v>193</v>
      </c>
      <c r="X314" s="16"/>
      <c r="Y314" s="15"/>
      <c r="Z314" s="12"/>
      <c r="AA314" s="15"/>
      <c r="AB314" s="15"/>
      <c r="AD314" s="139" t="s">
        <v>194</v>
      </c>
      <c r="AE314" s="141"/>
      <c r="AF314" s="139"/>
      <c r="AG314" s="304"/>
      <c r="AH314" s="139"/>
      <c r="AI314" s="139"/>
      <c r="AK314" s="9" t="s">
        <v>195</v>
      </c>
    </row>
    <row r="315" spans="2:41" ht="30" x14ac:dyDescent="0.25">
      <c r="B315" s="20" t="s">
        <v>22</v>
      </c>
      <c r="C315" s="21" t="s">
        <v>23</v>
      </c>
      <c r="D315" s="21" t="s">
        <v>24</v>
      </c>
      <c r="E315" s="21" t="s">
        <v>25</v>
      </c>
      <c r="F315" s="22" t="s">
        <v>26</v>
      </c>
      <c r="G315" s="23" t="s">
        <v>27</v>
      </c>
      <c r="I315" s="20" t="s">
        <v>22</v>
      </c>
      <c r="J315" s="21" t="s">
        <v>23</v>
      </c>
      <c r="K315" s="21" t="s">
        <v>24</v>
      </c>
      <c r="L315" s="21" t="s">
        <v>25</v>
      </c>
      <c r="M315" s="22" t="s">
        <v>26</v>
      </c>
      <c r="N315" s="23" t="s">
        <v>27</v>
      </c>
      <c r="P315" s="20" t="s">
        <v>22</v>
      </c>
      <c r="Q315" s="21" t="s">
        <v>23</v>
      </c>
      <c r="R315" s="21" t="s">
        <v>24</v>
      </c>
      <c r="S315" s="21" t="s">
        <v>25</v>
      </c>
      <c r="T315" s="22" t="s">
        <v>26</v>
      </c>
      <c r="U315" s="23" t="s">
        <v>27</v>
      </c>
      <c r="W315" s="20" t="s">
        <v>22</v>
      </c>
      <c r="X315" s="21" t="s">
        <v>23</v>
      </c>
      <c r="Y315" s="21" t="s">
        <v>24</v>
      </c>
      <c r="Z315" s="21" t="s">
        <v>25</v>
      </c>
      <c r="AA315" s="22" t="s">
        <v>26</v>
      </c>
      <c r="AB315" s="23" t="s">
        <v>27</v>
      </c>
      <c r="AD315" s="305" t="s">
        <v>22</v>
      </c>
      <c r="AE315" s="306" t="s">
        <v>23</v>
      </c>
      <c r="AF315" s="306" t="s">
        <v>24</v>
      </c>
      <c r="AG315" s="306" t="s">
        <v>25</v>
      </c>
      <c r="AH315" s="307" t="s">
        <v>26</v>
      </c>
      <c r="AI315" s="308" t="s">
        <v>27</v>
      </c>
      <c r="AK315" s="25"/>
      <c r="AL315" s="26" t="s">
        <v>24</v>
      </c>
      <c r="AM315" s="27" t="s">
        <v>25</v>
      </c>
      <c r="AN315" s="27" t="s">
        <v>27</v>
      </c>
      <c r="AO315" s="28" t="s">
        <v>28</v>
      </c>
    </row>
    <row r="316" spans="2:41" x14ac:dyDescent="0.25">
      <c r="B316" s="263" t="s">
        <v>29</v>
      </c>
      <c r="C316" s="358" t="s">
        <v>30</v>
      </c>
      <c r="D316" s="373">
        <v>0</v>
      </c>
      <c r="E316" s="366">
        <v>0</v>
      </c>
      <c r="F316" s="367"/>
      <c r="G316" s="266">
        <v>23</v>
      </c>
      <c r="I316" s="263" t="s">
        <v>29</v>
      </c>
      <c r="J316" s="358" t="s">
        <v>30</v>
      </c>
      <c r="K316" s="373">
        <v>0</v>
      </c>
      <c r="L316" s="366">
        <v>0</v>
      </c>
      <c r="M316" s="367"/>
      <c r="N316" s="266">
        <v>12</v>
      </c>
      <c r="P316" s="263" t="s">
        <v>29</v>
      </c>
      <c r="Q316" s="358" t="s">
        <v>30</v>
      </c>
      <c r="R316" s="373">
        <v>0</v>
      </c>
      <c r="S316" s="366">
        <v>0</v>
      </c>
      <c r="T316" s="367"/>
      <c r="U316" s="266">
        <v>9</v>
      </c>
      <c r="W316" s="263" t="s">
        <v>29</v>
      </c>
      <c r="X316" s="358" t="s">
        <v>30</v>
      </c>
      <c r="Y316" s="373">
        <v>0</v>
      </c>
      <c r="Z316" s="366">
        <v>0</v>
      </c>
      <c r="AA316" s="367"/>
      <c r="AB316" s="266">
        <v>7</v>
      </c>
      <c r="AD316" s="314"/>
      <c r="AE316" s="361" t="s">
        <v>30</v>
      </c>
      <c r="AF316" s="374">
        <v>0</v>
      </c>
      <c r="AG316" s="252">
        <v>0</v>
      </c>
      <c r="AH316" s="375"/>
      <c r="AI316" s="352"/>
      <c r="AK316" s="38" t="s">
        <v>29</v>
      </c>
      <c r="AL316" s="39">
        <v>51</v>
      </c>
      <c r="AM316" s="40">
        <v>0</v>
      </c>
      <c r="AN316" s="32">
        <f>SUM(AL316,AM316)</f>
        <v>51</v>
      </c>
      <c r="AO316" s="41">
        <f>AN316/AN318*100</f>
        <v>100</v>
      </c>
    </row>
    <row r="317" spans="2:41" x14ac:dyDescent="0.25">
      <c r="B317" s="269"/>
      <c r="C317" s="264">
        <v>0.5</v>
      </c>
      <c r="D317" s="272">
        <v>0</v>
      </c>
      <c r="E317" s="298">
        <v>0</v>
      </c>
      <c r="F317" s="338"/>
      <c r="G317" s="271"/>
      <c r="I317" s="269"/>
      <c r="J317" s="264">
        <v>0.5</v>
      </c>
      <c r="K317" s="272">
        <v>0</v>
      </c>
      <c r="L317" s="298">
        <v>0</v>
      </c>
      <c r="M317" s="338"/>
      <c r="N317" s="271"/>
      <c r="P317" s="269"/>
      <c r="Q317" s="264">
        <v>0.5</v>
      </c>
      <c r="R317" s="270">
        <v>1</v>
      </c>
      <c r="S317" s="298">
        <v>0</v>
      </c>
      <c r="T317" s="338"/>
      <c r="U317" s="271"/>
      <c r="W317" s="269"/>
      <c r="X317" s="264">
        <v>0.5</v>
      </c>
      <c r="Y317" s="270">
        <v>3</v>
      </c>
      <c r="Z317" s="298">
        <v>0</v>
      </c>
      <c r="AA317" s="338"/>
      <c r="AB317" s="271"/>
      <c r="AD317" s="260"/>
      <c r="AE317" s="261">
        <v>0.5</v>
      </c>
      <c r="AF317" s="273">
        <v>1</v>
      </c>
      <c r="AG317" s="339">
        <v>0</v>
      </c>
      <c r="AH317" s="351"/>
      <c r="AI317" s="357">
        <v>1</v>
      </c>
      <c r="AK317" s="56" t="s">
        <v>32</v>
      </c>
      <c r="AL317" s="57">
        <v>0</v>
      </c>
      <c r="AM317" s="58">
        <v>0</v>
      </c>
      <c r="AN317" s="50">
        <f>SUM(AL317,AM317)</f>
        <v>0</v>
      </c>
      <c r="AO317" s="59">
        <f>AN317/AN318*100</f>
        <v>0</v>
      </c>
    </row>
    <row r="318" spans="2:41" x14ac:dyDescent="0.25">
      <c r="B318" s="269"/>
      <c r="C318" s="358">
        <v>1</v>
      </c>
      <c r="D318" s="270">
        <v>21</v>
      </c>
      <c r="E318" s="298">
        <v>0</v>
      </c>
      <c r="F318" s="338"/>
      <c r="G318" s="271"/>
      <c r="I318" s="269"/>
      <c r="J318" s="358">
        <v>1</v>
      </c>
      <c r="K318" s="270">
        <v>10</v>
      </c>
      <c r="L318" s="298">
        <v>0</v>
      </c>
      <c r="M318" s="338"/>
      <c r="N318" s="271"/>
      <c r="P318" s="269"/>
      <c r="Q318" s="358">
        <v>1</v>
      </c>
      <c r="R318" s="270">
        <v>7</v>
      </c>
      <c r="S318" s="298">
        <v>0</v>
      </c>
      <c r="T318" s="338"/>
      <c r="U318" s="271"/>
      <c r="W318" s="269"/>
      <c r="X318" s="358">
        <v>1</v>
      </c>
      <c r="Y318" s="270">
        <v>3</v>
      </c>
      <c r="Z318" s="298">
        <v>0</v>
      </c>
      <c r="AA318" s="338"/>
      <c r="AB318" s="271"/>
      <c r="AD318" s="260"/>
      <c r="AE318" s="361">
        <v>1</v>
      </c>
      <c r="AF318" s="273">
        <v>3</v>
      </c>
      <c r="AG318" s="339">
        <v>0</v>
      </c>
      <c r="AH318" s="351"/>
      <c r="AI318" s="357">
        <v>3</v>
      </c>
      <c r="AK318" s="56" t="s">
        <v>27</v>
      </c>
      <c r="AL318" s="64">
        <f>SUM(AL316,AL317)</f>
        <v>51</v>
      </c>
      <c r="AM318" s="50">
        <f>SUM(AM316,AM317)</f>
        <v>0</v>
      </c>
      <c r="AN318" s="50">
        <f>SUM(AL316:AM317)</f>
        <v>51</v>
      </c>
      <c r="AO318" s="59"/>
    </row>
    <row r="319" spans="2:41" x14ac:dyDescent="0.25">
      <c r="B319" s="274"/>
      <c r="C319" s="256">
        <v>2</v>
      </c>
      <c r="D319" s="259">
        <v>2</v>
      </c>
      <c r="E319" s="256">
        <v>0</v>
      </c>
      <c r="F319" s="354"/>
      <c r="G319" s="277"/>
      <c r="I319" s="274"/>
      <c r="J319" s="256">
        <v>2</v>
      </c>
      <c r="K319" s="259">
        <v>2</v>
      </c>
      <c r="L319" s="256">
        <v>0</v>
      </c>
      <c r="M319" s="354"/>
      <c r="N319" s="277"/>
      <c r="P319" s="274"/>
      <c r="Q319" s="256">
        <v>2</v>
      </c>
      <c r="R319" s="259">
        <v>1</v>
      </c>
      <c r="S319" s="256">
        <v>0</v>
      </c>
      <c r="T319" s="354"/>
      <c r="U319" s="277"/>
      <c r="W319" s="274"/>
      <c r="X319" s="256">
        <v>2</v>
      </c>
      <c r="Y319" s="259">
        <v>1</v>
      </c>
      <c r="Z319" s="256">
        <v>0</v>
      </c>
      <c r="AA319" s="354"/>
      <c r="AB319" s="277"/>
      <c r="AD319" s="260"/>
      <c r="AE319" s="261">
        <v>2</v>
      </c>
      <c r="AF319" s="273">
        <v>0</v>
      </c>
      <c r="AG319" s="261">
        <v>0</v>
      </c>
      <c r="AH319" s="261"/>
      <c r="AI319" s="262"/>
      <c r="AK319" s="56" t="s">
        <v>28</v>
      </c>
      <c r="AL319" s="64">
        <f>AL318/AN318*100</f>
        <v>100</v>
      </c>
      <c r="AM319" s="59">
        <f>AM318/AN318*100</f>
        <v>0</v>
      </c>
      <c r="AN319" s="59"/>
      <c r="AO319" s="59"/>
    </row>
    <row r="320" spans="2:41" x14ac:dyDescent="0.25">
      <c r="B320" s="269" t="s">
        <v>32</v>
      </c>
      <c r="C320" s="264">
        <v>4</v>
      </c>
      <c r="D320" s="264">
        <v>0</v>
      </c>
      <c r="E320" s="264">
        <v>0</v>
      </c>
      <c r="F320" s="359"/>
      <c r="G320" s="271">
        <v>0</v>
      </c>
      <c r="I320" s="269" t="s">
        <v>32</v>
      </c>
      <c r="J320" s="264">
        <v>4</v>
      </c>
      <c r="K320" s="264">
        <v>0</v>
      </c>
      <c r="L320" s="264">
        <v>0</v>
      </c>
      <c r="M320" s="359"/>
      <c r="N320" s="271">
        <v>0</v>
      </c>
      <c r="P320" s="269" t="s">
        <v>32</v>
      </c>
      <c r="Q320" s="264">
        <v>4</v>
      </c>
      <c r="R320" s="264">
        <v>0</v>
      </c>
      <c r="S320" s="264">
        <v>0</v>
      </c>
      <c r="T320" s="359"/>
      <c r="U320" s="271">
        <v>0</v>
      </c>
      <c r="W320" s="269" t="s">
        <v>32</v>
      </c>
      <c r="X320" s="264">
        <v>4</v>
      </c>
      <c r="Y320" s="264">
        <v>0</v>
      </c>
      <c r="Z320" s="264">
        <v>0</v>
      </c>
      <c r="AA320" s="359"/>
      <c r="AB320" s="271">
        <v>0</v>
      </c>
      <c r="AD320" s="260"/>
      <c r="AE320" s="261">
        <v>4</v>
      </c>
      <c r="AF320" s="261">
        <v>0</v>
      </c>
      <c r="AG320" s="261">
        <v>0</v>
      </c>
      <c r="AH320" s="356"/>
      <c r="AI320" s="357">
        <v>0</v>
      </c>
    </row>
    <row r="321" spans="2:41" x14ac:dyDescent="0.25">
      <c r="B321" s="274"/>
      <c r="C321" s="256" t="s">
        <v>33</v>
      </c>
      <c r="D321" s="256">
        <v>0</v>
      </c>
      <c r="E321" s="257">
        <v>0</v>
      </c>
      <c r="F321" s="372"/>
      <c r="G321" s="277"/>
      <c r="I321" s="274"/>
      <c r="J321" s="256" t="s">
        <v>33</v>
      </c>
      <c r="K321" s="256">
        <v>0</v>
      </c>
      <c r="L321" s="257">
        <v>0</v>
      </c>
      <c r="M321" s="372"/>
      <c r="N321" s="277"/>
      <c r="P321" s="274"/>
      <c r="Q321" s="256" t="s">
        <v>33</v>
      </c>
      <c r="R321" s="256">
        <v>0</v>
      </c>
      <c r="S321" s="257">
        <v>0</v>
      </c>
      <c r="T321" s="372"/>
      <c r="U321" s="277"/>
      <c r="W321" s="274"/>
      <c r="X321" s="256" t="s">
        <v>33</v>
      </c>
      <c r="Y321" s="256">
        <v>0</v>
      </c>
      <c r="Z321" s="257">
        <v>0</v>
      </c>
      <c r="AA321" s="372"/>
      <c r="AB321" s="277"/>
      <c r="AD321" s="279"/>
      <c r="AE321" s="346" t="s">
        <v>33</v>
      </c>
      <c r="AF321" s="346">
        <v>0</v>
      </c>
      <c r="AG321" s="376">
        <v>0</v>
      </c>
      <c r="AH321" s="377"/>
      <c r="AI321" s="363"/>
    </row>
    <row r="322" spans="2:41" ht="15.75" thickBot="1" x14ac:dyDescent="0.3">
      <c r="B322" s="284"/>
      <c r="C322" s="285"/>
      <c r="D322" s="285">
        <v>23</v>
      </c>
      <c r="E322" s="285">
        <v>0</v>
      </c>
      <c r="F322" s="349"/>
      <c r="G322" s="287">
        <v>23</v>
      </c>
      <c r="I322" s="284"/>
      <c r="J322" s="285"/>
      <c r="K322" s="285">
        <v>12</v>
      </c>
      <c r="L322" s="285">
        <v>0</v>
      </c>
      <c r="M322" s="349"/>
      <c r="N322" s="287">
        <v>12</v>
      </c>
      <c r="P322" s="284"/>
      <c r="Q322" s="285"/>
      <c r="R322" s="285">
        <v>9</v>
      </c>
      <c r="S322" s="285">
        <v>0</v>
      </c>
      <c r="T322" s="349"/>
      <c r="U322" s="287">
        <v>9</v>
      </c>
      <c r="W322" s="284"/>
      <c r="X322" s="285"/>
      <c r="Y322" s="285">
        <v>7</v>
      </c>
      <c r="Z322" s="285">
        <v>0</v>
      </c>
      <c r="AA322" s="349"/>
      <c r="AB322" s="287">
        <v>7</v>
      </c>
      <c r="AD322" s="289"/>
      <c r="AE322" s="290"/>
      <c r="AF322" s="290">
        <v>4</v>
      </c>
      <c r="AG322" s="290">
        <v>0</v>
      </c>
      <c r="AH322" s="350"/>
      <c r="AI322" s="292">
        <v>4</v>
      </c>
    </row>
    <row r="324" spans="2:41" ht="19.5" thickBot="1" x14ac:dyDescent="0.35">
      <c r="B324" s="15" t="s">
        <v>98</v>
      </c>
      <c r="C324" s="16"/>
      <c r="D324" s="12"/>
      <c r="E324" s="15"/>
      <c r="F324" s="15"/>
      <c r="G324" s="15"/>
      <c r="I324" s="15" t="s">
        <v>98</v>
      </c>
      <c r="J324" s="16"/>
      <c r="K324" s="15"/>
      <c r="L324" s="12"/>
      <c r="M324" s="15"/>
      <c r="N324" s="15"/>
      <c r="P324" s="15" t="s">
        <v>98</v>
      </c>
      <c r="Q324" s="16"/>
      <c r="R324" s="15"/>
      <c r="S324" s="12"/>
      <c r="T324" s="15"/>
      <c r="U324" s="15"/>
      <c r="W324" s="15" t="s">
        <v>98</v>
      </c>
      <c r="X324" s="16"/>
      <c r="Y324" s="15"/>
      <c r="Z324" s="12"/>
      <c r="AA324" s="15"/>
      <c r="AB324" s="15"/>
      <c r="AD324" s="15" t="s">
        <v>98</v>
      </c>
      <c r="AE324" s="16"/>
      <c r="AF324" s="12"/>
      <c r="AG324" s="15"/>
      <c r="AH324" s="15"/>
      <c r="AI324" s="15"/>
      <c r="AK324" s="9" t="s">
        <v>196</v>
      </c>
    </row>
    <row r="325" spans="2:41" ht="30" x14ac:dyDescent="0.25">
      <c r="B325" s="20" t="s">
        <v>22</v>
      </c>
      <c r="C325" s="21" t="s">
        <v>23</v>
      </c>
      <c r="D325" s="21" t="s">
        <v>24</v>
      </c>
      <c r="E325" s="21" t="s">
        <v>25</v>
      </c>
      <c r="F325" s="22" t="s">
        <v>26</v>
      </c>
      <c r="G325" s="23" t="s">
        <v>27</v>
      </c>
      <c r="I325" s="20" t="s">
        <v>22</v>
      </c>
      <c r="J325" s="21" t="s">
        <v>23</v>
      </c>
      <c r="K325" s="21" t="s">
        <v>24</v>
      </c>
      <c r="L325" s="21" t="s">
        <v>25</v>
      </c>
      <c r="M325" s="22" t="s">
        <v>26</v>
      </c>
      <c r="N325" s="23" t="s">
        <v>27</v>
      </c>
      <c r="P325" s="20" t="s">
        <v>22</v>
      </c>
      <c r="Q325" s="21" t="s">
        <v>23</v>
      </c>
      <c r="R325" s="21" t="s">
        <v>24</v>
      </c>
      <c r="S325" s="21" t="s">
        <v>25</v>
      </c>
      <c r="T325" s="22" t="s">
        <v>26</v>
      </c>
      <c r="U325" s="23" t="s">
        <v>27</v>
      </c>
      <c r="W325" s="20" t="s">
        <v>22</v>
      </c>
      <c r="X325" s="21" t="s">
        <v>23</v>
      </c>
      <c r="Y325" s="21" t="s">
        <v>24</v>
      </c>
      <c r="Z325" s="21" t="s">
        <v>25</v>
      </c>
      <c r="AA325" s="22" t="s">
        <v>26</v>
      </c>
      <c r="AB325" s="23" t="s">
        <v>27</v>
      </c>
      <c r="AD325" s="20" t="s">
        <v>22</v>
      </c>
      <c r="AE325" s="21" t="s">
        <v>23</v>
      </c>
      <c r="AF325" s="21" t="s">
        <v>24</v>
      </c>
      <c r="AG325" s="21" t="s">
        <v>25</v>
      </c>
      <c r="AH325" s="22" t="s">
        <v>26</v>
      </c>
      <c r="AI325" s="23" t="s">
        <v>27</v>
      </c>
      <c r="AK325" s="25"/>
      <c r="AL325" s="26" t="s">
        <v>24</v>
      </c>
      <c r="AM325" s="27" t="s">
        <v>25</v>
      </c>
      <c r="AN325" s="27" t="s">
        <v>27</v>
      </c>
      <c r="AO325" s="28" t="s">
        <v>28</v>
      </c>
    </row>
    <row r="326" spans="2:41" x14ac:dyDescent="0.25">
      <c r="B326" s="269" t="s">
        <v>29</v>
      </c>
      <c r="C326" s="264" t="s">
        <v>46</v>
      </c>
      <c r="D326" s="270">
        <v>23</v>
      </c>
      <c r="E326" s="298">
        <v>0</v>
      </c>
      <c r="F326" s="338"/>
      <c r="G326" s="271">
        <v>23</v>
      </c>
      <c r="I326" s="269" t="s">
        <v>29</v>
      </c>
      <c r="J326" s="264" t="s">
        <v>46</v>
      </c>
      <c r="K326" s="270">
        <v>12</v>
      </c>
      <c r="L326" s="298">
        <v>0</v>
      </c>
      <c r="M326" s="338"/>
      <c r="N326" s="271">
        <v>12</v>
      </c>
      <c r="P326" s="269" t="s">
        <v>29</v>
      </c>
      <c r="Q326" s="264" t="s">
        <v>46</v>
      </c>
      <c r="R326" s="270">
        <v>9</v>
      </c>
      <c r="S326" s="298">
        <v>0</v>
      </c>
      <c r="T326" s="338"/>
      <c r="U326" s="271">
        <v>9</v>
      </c>
      <c r="W326" s="269" t="s">
        <v>29</v>
      </c>
      <c r="X326" s="264" t="s">
        <v>46</v>
      </c>
      <c r="Y326" s="270">
        <v>7</v>
      </c>
      <c r="Z326" s="298">
        <v>0</v>
      </c>
      <c r="AA326" s="338"/>
      <c r="AB326" s="271">
        <v>7</v>
      </c>
      <c r="AD326" s="269" t="s">
        <v>29</v>
      </c>
      <c r="AE326" s="264" t="s">
        <v>46</v>
      </c>
      <c r="AF326" s="270">
        <v>1</v>
      </c>
      <c r="AG326" s="298">
        <v>0</v>
      </c>
      <c r="AH326" s="338"/>
      <c r="AI326" s="271">
        <v>4</v>
      </c>
      <c r="AK326" s="38" t="s">
        <v>29</v>
      </c>
      <c r="AL326" s="39">
        <v>55</v>
      </c>
      <c r="AM326" s="40">
        <v>0</v>
      </c>
      <c r="AN326" s="32">
        <f>SUM(AL326,AM326)</f>
        <v>55</v>
      </c>
      <c r="AO326" s="41">
        <f>AN326/AN328*100</f>
        <v>100</v>
      </c>
    </row>
    <row r="327" spans="2:41" x14ac:dyDescent="0.25">
      <c r="B327" s="269"/>
      <c r="C327" s="358">
        <v>1</v>
      </c>
      <c r="D327" s="272">
        <v>0</v>
      </c>
      <c r="E327" s="298">
        <v>0</v>
      </c>
      <c r="F327" s="338"/>
      <c r="G327" s="271"/>
      <c r="I327" s="269"/>
      <c r="J327" s="358">
        <v>1</v>
      </c>
      <c r="K327" s="272">
        <v>0</v>
      </c>
      <c r="L327" s="298">
        <v>0</v>
      </c>
      <c r="M327" s="338"/>
      <c r="N327" s="271"/>
      <c r="P327" s="269"/>
      <c r="Q327" s="358">
        <v>1</v>
      </c>
      <c r="R327" s="272">
        <v>0</v>
      </c>
      <c r="S327" s="298">
        <v>0</v>
      </c>
      <c r="T327" s="338"/>
      <c r="U327" s="271"/>
      <c r="W327" s="269"/>
      <c r="X327" s="358">
        <v>1</v>
      </c>
      <c r="Y327" s="272">
        <v>0</v>
      </c>
      <c r="Z327" s="298">
        <v>0</v>
      </c>
      <c r="AA327" s="338"/>
      <c r="AB327" s="271"/>
      <c r="AD327" s="269"/>
      <c r="AE327" s="358">
        <v>1</v>
      </c>
      <c r="AF327" s="270">
        <v>3</v>
      </c>
      <c r="AG327" s="298">
        <v>0</v>
      </c>
      <c r="AH327" s="338"/>
      <c r="AI327" s="271"/>
      <c r="AK327" s="56" t="s">
        <v>32</v>
      </c>
      <c r="AL327" s="57">
        <v>0</v>
      </c>
      <c r="AM327" s="58">
        <v>0</v>
      </c>
      <c r="AN327" s="50">
        <f>SUM(AL327,AM327)</f>
        <v>0</v>
      </c>
      <c r="AO327" s="59">
        <f>AN327/AN328*100</f>
        <v>0</v>
      </c>
    </row>
    <row r="328" spans="2:41" x14ac:dyDescent="0.25">
      <c r="B328" s="274"/>
      <c r="C328" s="256">
        <v>2</v>
      </c>
      <c r="D328" s="300">
        <v>0</v>
      </c>
      <c r="E328" s="256">
        <v>0</v>
      </c>
      <c r="F328" s="354"/>
      <c r="G328" s="277"/>
      <c r="I328" s="274"/>
      <c r="J328" s="256">
        <v>2</v>
      </c>
      <c r="K328" s="300">
        <v>0</v>
      </c>
      <c r="L328" s="256">
        <v>0</v>
      </c>
      <c r="M328" s="354"/>
      <c r="N328" s="277"/>
      <c r="P328" s="274"/>
      <c r="Q328" s="256">
        <v>2</v>
      </c>
      <c r="R328" s="300">
        <v>0</v>
      </c>
      <c r="S328" s="256">
        <v>0</v>
      </c>
      <c r="T328" s="354"/>
      <c r="U328" s="277"/>
      <c r="W328" s="274"/>
      <c r="X328" s="256">
        <v>2</v>
      </c>
      <c r="Y328" s="300">
        <v>0</v>
      </c>
      <c r="Z328" s="256">
        <v>0</v>
      </c>
      <c r="AA328" s="354"/>
      <c r="AB328" s="277"/>
      <c r="AD328" s="274"/>
      <c r="AE328" s="256">
        <v>2</v>
      </c>
      <c r="AF328" s="300">
        <v>0</v>
      </c>
      <c r="AG328" s="256">
        <v>0</v>
      </c>
      <c r="AH328" s="354"/>
      <c r="AI328" s="277"/>
      <c r="AK328" s="56" t="s">
        <v>27</v>
      </c>
      <c r="AL328" s="64">
        <f>SUM(AL326,AL327)</f>
        <v>55</v>
      </c>
      <c r="AM328" s="50">
        <f>SUM(AM326,AM327)</f>
        <v>0</v>
      </c>
      <c r="AN328" s="50">
        <f>SUM(AL326:AM327)</f>
        <v>55</v>
      </c>
      <c r="AO328" s="59"/>
    </row>
    <row r="329" spans="2:41" x14ac:dyDescent="0.25">
      <c r="B329" s="269" t="s">
        <v>32</v>
      </c>
      <c r="C329" s="264">
        <v>4</v>
      </c>
      <c r="D329" s="264">
        <v>0</v>
      </c>
      <c r="E329" s="264">
        <v>0</v>
      </c>
      <c r="F329" s="359"/>
      <c r="G329" s="271">
        <v>0</v>
      </c>
      <c r="I329" s="269" t="s">
        <v>32</v>
      </c>
      <c r="J329" s="264">
        <v>4</v>
      </c>
      <c r="K329" s="264">
        <v>0</v>
      </c>
      <c r="L329" s="264">
        <v>0</v>
      </c>
      <c r="M329" s="359"/>
      <c r="N329" s="271">
        <v>0</v>
      </c>
      <c r="P329" s="269" t="s">
        <v>32</v>
      </c>
      <c r="Q329" s="264">
        <v>4</v>
      </c>
      <c r="R329" s="264">
        <v>0</v>
      </c>
      <c r="S329" s="264">
        <v>0</v>
      </c>
      <c r="T329" s="359"/>
      <c r="U329" s="271">
        <v>0</v>
      </c>
      <c r="W329" s="269" t="s">
        <v>32</v>
      </c>
      <c r="X329" s="264">
        <v>4</v>
      </c>
      <c r="Y329" s="264">
        <v>0</v>
      </c>
      <c r="Z329" s="264">
        <v>0</v>
      </c>
      <c r="AA329" s="359"/>
      <c r="AB329" s="271">
        <v>0</v>
      </c>
      <c r="AD329" s="269" t="s">
        <v>32</v>
      </c>
      <c r="AE329" s="264">
        <v>4</v>
      </c>
      <c r="AF329" s="264">
        <v>0</v>
      </c>
      <c r="AG329" s="264">
        <v>0</v>
      </c>
      <c r="AH329" s="359"/>
      <c r="AI329" s="271">
        <v>0</v>
      </c>
      <c r="AK329" s="56" t="s">
        <v>28</v>
      </c>
      <c r="AL329" s="64">
        <f>AL328/AN328*100</f>
        <v>100</v>
      </c>
      <c r="AM329" s="59">
        <f>AM328/AN328*100</f>
        <v>0</v>
      </c>
      <c r="AN329" s="59"/>
      <c r="AO329" s="59"/>
    </row>
    <row r="330" spans="2:41" x14ac:dyDescent="0.25">
      <c r="B330" s="274"/>
      <c r="C330" s="256" t="s">
        <v>33</v>
      </c>
      <c r="D330" s="256">
        <v>0</v>
      </c>
      <c r="E330" s="257">
        <v>0</v>
      </c>
      <c r="F330" s="372"/>
      <c r="G330" s="277"/>
      <c r="I330" s="274"/>
      <c r="J330" s="256" t="s">
        <v>33</v>
      </c>
      <c r="K330" s="256">
        <v>0</v>
      </c>
      <c r="L330" s="257">
        <v>0</v>
      </c>
      <c r="M330" s="372"/>
      <c r="N330" s="277"/>
      <c r="P330" s="274"/>
      <c r="Q330" s="256" t="s">
        <v>33</v>
      </c>
      <c r="R330" s="256">
        <v>0</v>
      </c>
      <c r="S330" s="257">
        <v>0</v>
      </c>
      <c r="T330" s="372"/>
      <c r="U330" s="277"/>
      <c r="W330" s="274"/>
      <c r="X330" s="256" t="s">
        <v>33</v>
      </c>
      <c r="Y330" s="256">
        <v>0</v>
      </c>
      <c r="Z330" s="257">
        <v>0</v>
      </c>
      <c r="AA330" s="372"/>
      <c r="AB330" s="277"/>
      <c r="AD330" s="274"/>
      <c r="AE330" s="256" t="s">
        <v>33</v>
      </c>
      <c r="AF330" s="256">
        <v>0</v>
      </c>
      <c r="AG330" s="257">
        <v>0</v>
      </c>
      <c r="AH330" s="372"/>
      <c r="AI330" s="277"/>
    </row>
    <row r="331" spans="2:41" ht="15.75" thickBot="1" x14ac:dyDescent="0.3">
      <c r="B331" s="284"/>
      <c r="C331" s="285"/>
      <c r="D331" s="285">
        <v>23</v>
      </c>
      <c r="E331" s="285">
        <v>0</v>
      </c>
      <c r="F331" s="349"/>
      <c r="G331" s="287">
        <v>23</v>
      </c>
      <c r="I331" s="284"/>
      <c r="J331" s="285"/>
      <c r="K331" s="285">
        <v>12</v>
      </c>
      <c r="L331" s="285">
        <v>0</v>
      </c>
      <c r="M331" s="349"/>
      <c r="N331" s="287">
        <v>12</v>
      </c>
      <c r="P331" s="284"/>
      <c r="Q331" s="285"/>
      <c r="R331" s="285">
        <v>9</v>
      </c>
      <c r="S331" s="285">
        <v>0</v>
      </c>
      <c r="T331" s="349"/>
      <c r="U331" s="287">
        <v>9</v>
      </c>
      <c r="W331" s="284"/>
      <c r="X331" s="285"/>
      <c r="Y331" s="285">
        <v>7</v>
      </c>
      <c r="Z331" s="285">
        <v>0</v>
      </c>
      <c r="AA331" s="349"/>
      <c r="AB331" s="287">
        <v>7</v>
      </c>
      <c r="AD331" s="284"/>
      <c r="AE331" s="285"/>
      <c r="AF331" s="285">
        <v>4</v>
      </c>
      <c r="AG331" s="285">
        <v>0</v>
      </c>
      <c r="AH331" s="349"/>
      <c r="AI331" s="287">
        <v>4</v>
      </c>
    </row>
    <row r="332" spans="2:41" x14ac:dyDescent="0.25">
      <c r="C332" s="78"/>
      <c r="J332" s="78"/>
      <c r="S332" s="179"/>
    </row>
    <row r="333" spans="2:41" ht="19.5" thickBot="1" x14ac:dyDescent="0.35">
      <c r="B333" s="139" t="s">
        <v>197</v>
      </c>
      <c r="C333" s="378"/>
      <c r="D333" s="379"/>
      <c r="E333" s="379"/>
      <c r="F333" s="379"/>
      <c r="G333" s="379"/>
      <c r="H333" s="5"/>
      <c r="I333" s="139" t="s">
        <v>197</v>
      </c>
      <c r="J333" s="378"/>
      <c r="K333" s="379"/>
      <c r="L333" s="379"/>
      <c r="M333" s="379"/>
      <c r="N333" s="379"/>
      <c r="O333" s="5"/>
      <c r="P333" s="139" t="s">
        <v>197</v>
      </c>
      <c r="Q333" s="378"/>
      <c r="R333" s="379"/>
      <c r="S333" s="379"/>
      <c r="T333" s="379"/>
      <c r="U333" s="379"/>
      <c r="W333" s="9" t="s">
        <v>198</v>
      </c>
      <c r="X333" s="204" t="s">
        <v>187</v>
      </c>
      <c r="Y333" s="380"/>
      <c r="Z333" s="12"/>
      <c r="AA333" s="380"/>
      <c r="AB333" s="380"/>
      <c r="AC333" s="380"/>
      <c r="AD333" s="9" t="s">
        <v>199</v>
      </c>
      <c r="AE333" s="380"/>
      <c r="AF333" s="12"/>
      <c r="AK333" s="9" t="s">
        <v>200</v>
      </c>
    </row>
    <row r="334" spans="2:41" ht="30" x14ac:dyDescent="0.25">
      <c r="B334" s="20" t="s">
        <v>22</v>
      </c>
      <c r="C334" s="21" t="s">
        <v>23</v>
      </c>
      <c r="D334" s="21" t="s">
        <v>24</v>
      </c>
      <c r="E334" s="21" t="s">
        <v>25</v>
      </c>
      <c r="F334" s="22" t="s">
        <v>26</v>
      </c>
      <c r="G334" s="23" t="s">
        <v>27</v>
      </c>
      <c r="H334" s="5"/>
      <c r="I334" s="20" t="s">
        <v>22</v>
      </c>
      <c r="J334" s="21" t="s">
        <v>23</v>
      </c>
      <c r="K334" s="21" t="s">
        <v>24</v>
      </c>
      <c r="L334" s="21" t="s">
        <v>25</v>
      </c>
      <c r="M334" s="22" t="s">
        <v>26</v>
      </c>
      <c r="N334" s="23" t="s">
        <v>27</v>
      </c>
      <c r="O334" s="5"/>
      <c r="P334" s="20" t="s">
        <v>22</v>
      </c>
      <c r="Q334" s="21" t="s">
        <v>23</v>
      </c>
      <c r="R334" s="21" t="s">
        <v>24</v>
      </c>
      <c r="S334" s="21" t="s">
        <v>25</v>
      </c>
      <c r="T334" s="22" t="s">
        <v>26</v>
      </c>
      <c r="U334" s="23" t="s">
        <v>27</v>
      </c>
      <c r="W334" s="20" t="s">
        <v>22</v>
      </c>
      <c r="X334" s="21" t="s">
        <v>23</v>
      </c>
      <c r="Y334" s="21" t="s">
        <v>24</v>
      </c>
      <c r="Z334" s="21" t="s">
        <v>25</v>
      </c>
      <c r="AA334" s="22" t="s">
        <v>26</v>
      </c>
      <c r="AB334" s="23" t="s">
        <v>27</v>
      </c>
      <c r="AD334" s="20" t="s">
        <v>22</v>
      </c>
      <c r="AE334" s="21" t="s">
        <v>23</v>
      </c>
      <c r="AF334" s="21" t="s">
        <v>24</v>
      </c>
      <c r="AG334" s="21" t="s">
        <v>25</v>
      </c>
      <c r="AH334" s="22" t="s">
        <v>26</v>
      </c>
      <c r="AI334" s="23" t="s">
        <v>27</v>
      </c>
      <c r="AK334" s="25"/>
      <c r="AL334" s="26" t="s">
        <v>24</v>
      </c>
      <c r="AM334" s="27" t="s">
        <v>25</v>
      </c>
      <c r="AN334" s="27" t="s">
        <v>27</v>
      </c>
      <c r="AO334" s="28" t="s">
        <v>28</v>
      </c>
    </row>
    <row r="335" spans="2:41" x14ac:dyDescent="0.25">
      <c r="B335" s="148"/>
      <c r="C335" s="149" t="s">
        <v>201</v>
      </c>
      <c r="D335" s="151">
        <v>23</v>
      </c>
      <c r="E335" s="151"/>
      <c r="F335" s="151"/>
      <c r="G335" s="153"/>
      <c r="H335" s="5"/>
      <c r="I335" s="148"/>
      <c r="J335" s="149" t="s">
        <v>201</v>
      </c>
      <c r="K335" s="151">
        <v>12</v>
      </c>
      <c r="L335" s="151"/>
      <c r="M335" s="151"/>
      <c r="N335" s="153"/>
      <c r="O335" s="5"/>
      <c r="P335" s="148"/>
      <c r="Q335" s="149" t="s">
        <v>201</v>
      </c>
      <c r="R335" s="151">
        <v>9</v>
      </c>
      <c r="S335" s="151"/>
      <c r="T335" s="151"/>
      <c r="U335" s="153"/>
      <c r="W335" s="29" t="s">
        <v>29</v>
      </c>
      <c r="X335" s="30" t="s">
        <v>201</v>
      </c>
      <c r="Y335" s="31">
        <v>7</v>
      </c>
      <c r="Z335" s="41">
        <v>0</v>
      </c>
      <c r="AA335" s="41"/>
      <c r="AB335" s="109">
        <v>7</v>
      </c>
      <c r="AD335" s="29" t="s">
        <v>29</v>
      </c>
      <c r="AE335" s="30" t="s">
        <v>201</v>
      </c>
      <c r="AF335" s="31">
        <v>3</v>
      </c>
      <c r="AG335" s="41">
        <v>0</v>
      </c>
      <c r="AH335" s="41"/>
      <c r="AI335" s="109">
        <v>4</v>
      </c>
      <c r="AK335" s="38" t="s">
        <v>29</v>
      </c>
      <c r="AL335" s="39">
        <v>11</v>
      </c>
      <c r="AM335" s="40">
        <v>0</v>
      </c>
      <c r="AN335" s="32">
        <f>SUM(AL335,AM335)</f>
        <v>11</v>
      </c>
      <c r="AO335" s="41">
        <f>AN335/AN338*100</f>
        <v>100</v>
      </c>
    </row>
    <row r="336" spans="2:41" x14ac:dyDescent="0.25">
      <c r="B336" s="148"/>
      <c r="C336" s="149">
        <v>0.25</v>
      </c>
      <c r="D336" s="151">
        <v>0</v>
      </c>
      <c r="E336" s="151"/>
      <c r="F336" s="151"/>
      <c r="G336" s="153"/>
      <c r="H336" s="5"/>
      <c r="I336" s="148"/>
      <c r="J336" s="149">
        <v>0.25</v>
      </c>
      <c r="K336" s="151">
        <v>0</v>
      </c>
      <c r="L336" s="151"/>
      <c r="M336" s="151"/>
      <c r="N336" s="153"/>
      <c r="O336" s="5"/>
      <c r="P336" s="148"/>
      <c r="Q336" s="149">
        <v>0.25</v>
      </c>
      <c r="R336" s="151">
        <v>0</v>
      </c>
      <c r="S336" s="151"/>
      <c r="T336" s="151"/>
      <c r="U336" s="153"/>
      <c r="W336" s="42"/>
      <c r="X336" s="30">
        <v>0.25</v>
      </c>
      <c r="Y336" s="41">
        <v>0</v>
      </c>
      <c r="Z336" s="41">
        <v>0</v>
      </c>
      <c r="AA336" s="41"/>
      <c r="AB336" s="172"/>
      <c r="AD336" s="42"/>
      <c r="AE336" s="30">
        <v>0.25</v>
      </c>
      <c r="AF336" s="41">
        <v>0</v>
      </c>
      <c r="AG336" s="41">
        <v>0</v>
      </c>
      <c r="AH336" s="41"/>
      <c r="AI336" s="172"/>
      <c r="AK336" s="38" t="s">
        <v>31</v>
      </c>
      <c r="AL336" s="2">
        <v>0</v>
      </c>
      <c r="AM336" s="40">
        <v>0</v>
      </c>
      <c r="AN336" s="41">
        <v>0</v>
      </c>
      <c r="AO336" s="41">
        <v>0</v>
      </c>
    </row>
    <row r="337" spans="2:41" x14ac:dyDescent="0.25">
      <c r="B337" s="148"/>
      <c r="C337" s="149">
        <v>0.5</v>
      </c>
      <c r="D337" s="151">
        <v>0</v>
      </c>
      <c r="E337" s="151"/>
      <c r="F337" s="151"/>
      <c r="G337" s="153"/>
      <c r="H337" s="5"/>
      <c r="I337" s="148"/>
      <c r="J337" s="149">
        <v>0.5</v>
      </c>
      <c r="K337" s="151">
        <v>0</v>
      </c>
      <c r="L337" s="151"/>
      <c r="M337" s="151"/>
      <c r="N337" s="153"/>
      <c r="O337" s="5"/>
      <c r="P337" s="148"/>
      <c r="Q337" s="149">
        <v>0.5</v>
      </c>
      <c r="R337" s="151">
        <v>0</v>
      </c>
      <c r="S337" s="151"/>
      <c r="T337" s="151"/>
      <c r="U337" s="153"/>
      <c r="W337" s="47"/>
      <c r="X337" s="48">
        <v>0.5</v>
      </c>
      <c r="Y337" s="59">
        <v>0</v>
      </c>
      <c r="Z337" s="59">
        <v>0</v>
      </c>
      <c r="AA337" s="59"/>
      <c r="AB337" s="115"/>
      <c r="AD337" s="47"/>
      <c r="AE337" s="48">
        <v>0.5</v>
      </c>
      <c r="AF337" s="58">
        <v>1</v>
      </c>
      <c r="AG337" s="59">
        <v>0</v>
      </c>
      <c r="AH337" s="59"/>
      <c r="AI337" s="115"/>
      <c r="AK337" s="56" t="s">
        <v>32</v>
      </c>
      <c r="AL337" s="57">
        <v>0</v>
      </c>
      <c r="AM337" s="58">
        <v>0</v>
      </c>
      <c r="AN337" s="50">
        <f>SUM(AL337,AM337)</f>
        <v>0</v>
      </c>
      <c r="AO337" s="59">
        <f>AN337/AN338*100</f>
        <v>0</v>
      </c>
    </row>
    <row r="338" spans="2:41" x14ac:dyDescent="0.25">
      <c r="B338" s="148"/>
      <c r="C338" s="149">
        <v>1</v>
      </c>
      <c r="D338" s="151">
        <v>0</v>
      </c>
      <c r="E338" s="151"/>
      <c r="F338" s="151"/>
      <c r="G338" s="153"/>
      <c r="H338" s="5"/>
      <c r="I338" s="148"/>
      <c r="J338" s="149">
        <v>1</v>
      </c>
      <c r="K338" s="151">
        <v>0</v>
      </c>
      <c r="L338" s="151"/>
      <c r="M338" s="151"/>
      <c r="N338" s="153"/>
      <c r="O338" s="5"/>
      <c r="P338" s="148"/>
      <c r="Q338" s="149">
        <v>1</v>
      </c>
      <c r="R338" s="151">
        <v>0</v>
      </c>
      <c r="S338" s="151"/>
      <c r="T338" s="151"/>
      <c r="U338" s="153"/>
      <c r="W338" s="29" t="s">
        <v>31</v>
      </c>
      <c r="X338" s="30">
        <v>1</v>
      </c>
      <c r="Y338" s="41">
        <v>0</v>
      </c>
      <c r="Z338" s="41">
        <v>0</v>
      </c>
      <c r="AA338" s="41"/>
      <c r="AB338" s="109">
        <v>0</v>
      </c>
      <c r="AD338" s="29" t="s">
        <v>32</v>
      </c>
      <c r="AE338" s="30">
        <v>1</v>
      </c>
      <c r="AF338" s="41">
        <v>0</v>
      </c>
      <c r="AG338" s="41">
        <v>0</v>
      </c>
      <c r="AH338" s="41"/>
      <c r="AI338" s="109">
        <v>0</v>
      </c>
      <c r="AK338" s="56" t="s">
        <v>27</v>
      </c>
      <c r="AL338" s="64">
        <f>SUM(AL335,AL337)</f>
        <v>11</v>
      </c>
      <c r="AM338" s="50">
        <f>SUM(AM335,AM337)</f>
        <v>0</v>
      </c>
      <c r="AN338" s="50">
        <f>SUM(AL335:AM337)</f>
        <v>11</v>
      </c>
      <c r="AO338" s="59"/>
    </row>
    <row r="339" spans="2:41" x14ac:dyDescent="0.25">
      <c r="B339" s="148"/>
      <c r="C339" s="149">
        <v>2</v>
      </c>
      <c r="D339" s="151">
        <v>0</v>
      </c>
      <c r="E339" s="151"/>
      <c r="F339" s="151"/>
      <c r="G339" s="153"/>
      <c r="H339" s="5"/>
      <c r="I339" s="148"/>
      <c r="J339" s="149">
        <v>2</v>
      </c>
      <c r="K339" s="151">
        <v>0</v>
      </c>
      <c r="L339" s="151"/>
      <c r="M339" s="151"/>
      <c r="N339" s="153"/>
      <c r="O339" s="5"/>
      <c r="P339" s="148"/>
      <c r="Q339" s="149">
        <v>2</v>
      </c>
      <c r="R339" s="151">
        <v>0</v>
      </c>
      <c r="S339" s="151"/>
      <c r="T339" s="151"/>
      <c r="U339" s="153"/>
      <c r="W339" s="47"/>
      <c r="X339" s="48">
        <v>2</v>
      </c>
      <c r="Y339" s="59">
        <v>0</v>
      </c>
      <c r="Z339" s="59">
        <v>0</v>
      </c>
      <c r="AA339" s="59"/>
      <c r="AB339" s="115"/>
      <c r="AD339" s="42"/>
      <c r="AE339" s="30">
        <v>2</v>
      </c>
      <c r="AF339" s="41">
        <v>0</v>
      </c>
      <c r="AG339" s="41">
        <v>0</v>
      </c>
      <c r="AH339" s="41"/>
      <c r="AI339" s="172"/>
      <c r="AK339" s="56" t="s">
        <v>28</v>
      </c>
      <c r="AL339" s="64">
        <f>AL338/AN338*100</f>
        <v>100</v>
      </c>
      <c r="AM339" s="59">
        <f>AM338/AN338*100</f>
        <v>0</v>
      </c>
      <c r="AN339" s="59"/>
      <c r="AO339" s="59"/>
    </row>
    <row r="340" spans="2:41" x14ac:dyDescent="0.25">
      <c r="B340" s="160"/>
      <c r="C340" s="161" t="s">
        <v>124</v>
      </c>
      <c r="D340" s="162">
        <v>0</v>
      </c>
      <c r="E340" s="162"/>
      <c r="F340" s="162"/>
      <c r="G340" s="165"/>
      <c r="H340" s="5"/>
      <c r="I340" s="160"/>
      <c r="J340" s="161" t="s">
        <v>124</v>
      </c>
      <c r="K340" s="162">
        <v>0</v>
      </c>
      <c r="L340" s="162"/>
      <c r="M340" s="162"/>
      <c r="N340" s="165"/>
      <c r="O340" s="5"/>
      <c r="P340" s="160"/>
      <c r="Q340" s="161" t="s">
        <v>124</v>
      </c>
      <c r="R340" s="162">
        <v>0</v>
      </c>
      <c r="S340" s="162"/>
      <c r="T340" s="162"/>
      <c r="U340" s="165"/>
      <c r="W340" s="60" t="s">
        <v>32</v>
      </c>
      <c r="X340" s="48" t="s">
        <v>124</v>
      </c>
      <c r="Y340" s="59">
        <v>0</v>
      </c>
      <c r="Z340" s="59">
        <v>0</v>
      </c>
      <c r="AA340" s="59"/>
      <c r="AB340" s="118">
        <v>0</v>
      </c>
      <c r="AD340" s="47"/>
      <c r="AE340" s="48" t="s">
        <v>124</v>
      </c>
      <c r="AF340" s="59">
        <v>0</v>
      </c>
      <c r="AG340" s="59">
        <v>0</v>
      </c>
      <c r="AH340" s="59"/>
      <c r="AI340" s="115"/>
    </row>
    <row r="341" spans="2:41" ht="15.75" thickBot="1" x14ac:dyDescent="0.3">
      <c r="B341" s="167"/>
      <c r="C341" s="168"/>
      <c r="D341" s="169"/>
      <c r="E341" s="169"/>
      <c r="F341" s="169"/>
      <c r="G341" s="171"/>
      <c r="H341" s="5"/>
      <c r="I341" s="167"/>
      <c r="J341" s="168"/>
      <c r="K341" s="169"/>
      <c r="L341" s="169"/>
      <c r="M341" s="169"/>
      <c r="N341" s="171"/>
      <c r="O341" s="5"/>
      <c r="P341" s="167"/>
      <c r="Q341" s="168"/>
      <c r="R341" s="169"/>
      <c r="S341" s="169"/>
      <c r="T341" s="169"/>
      <c r="U341" s="171"/>
      <c r="W341" s="70"/>
      <c r="X341" s="71"/>
      <c r="Y341" s="173">
        <v>7</v>
      </c>
      <c r="Z341" s="173">
        <v>0</v>
      </c>
      <c r="AA341" s="173"/>
      <c r="AB341" s="138">
        <v>7</v>
      </c>
      <c r="AD341" s="70"/>
      <c r="AE341" s="71"/>
      <c r="AF341" s="173">
        <v>4</v>
      </c>
      <c r="AG341" s="173">
        <v>0</v>
      </c>
      <c r="AH341" s="173"/>
      <c r="AI341" s="138">
        <v>4</v>
      </c>
    </row>
    <row r="342" spans="2:41" x14ac:dyDescent="0.25">
      <c r="B342" s="5"/>
      <c r="C342" s="230"/>
      <c r="D342" s="5"/>
      <c r="E342" s="5"/>
      <c r="F342" s="5"/>
      <c r="G342" s="5"/>
      <c r="H342" s="5"/>
      <c r="I342" s="5"/>
      <c r="J342" s="230"/>
      <c r="K342" s="5"/>
      <c r="L342" s="5"/>
      <c r="M342" s="5"/>
      <c r="N342" s="5"/>
      <c r="O342" s="5"/>
      <c r="P342" s="5"/>
      <c r="Q342" s="230"/>
      <c r="R342" s="5"/>
      <c r="S342" s="5"/>
      <c r="T342" s="5"/>
      <c r="U342" s="5"/>
      <c r="X342" s="78"/>
      <c r="AE342" s="78"/>
    </row>
    <row r="343" spans="2:41" ht="19.5" thickBot="1" x14ac:dyDescent="0.35">
      <c r="B343" s="139" t="s">
        <v>202</v>
      </c>
      <c r="C343" s="378"/>
      <c r="D343" s="379"/>
      <c r="E343" s="379"/>
      <c r="F343" s="379"/>
      <c r="G343" s="379"/>
      <c r="H343" s="5"/>
      <c r="I343" s="139" t="s">
        <v>202</v>
      </c>
      <c r="J343" s="378"/>
      <c r="K343" s="379"/>
      <c r="L343" s="379"/>
      <c r="M343" s="379"/>
      <c r="N343" s="379"/>
      <c r="O343" s="5"/>
      <c r="P343" s="139" t="s">
        <v>202</v>
      </c>
      <c r="Q343" s="378"/>
      <c r="R343" s="379"/>
      <c r="S343" s="379"/>
      <c r="T343" s="379"/>
      <c r="U343" s="379"/>
      <c r="W343" s="9" t="s">
        <v>203</v>
      </c>
      <c r="X343" s="204" t="s">
        <v>187</v>
      </c>
      <c r="Y343" s="380"/>
      <c r="Z343" s="12"/>
      <c r="AA343" s="380"/>
      <c r="AB343" s="380"/>
      <c r="AC343" s="380"/>
      <c r="AD343" s="9" t="s">
        <v>204</v>
      </c>
      <c r="AE343" s="381"/>
      <c r="AF343" s="12"/>
      <c r="AK343" s="9" t="s">
        <v>205</v>
      </c>
    </row>
    <row r="344" spans="2:41" ht="30" x14ac:dyDescent="0.25">
      <c r="B344" s="20" t="s">
        <v>22</v>
      </c>
      <c r="C344" s="21" t="s">
        <v>23</v>
      </c>
      <c r="D344" s="21" t="s">
        <v>24</v>
      </c>
      <c r="E344" s="21" t="s">
        <v>25</v>
      </c>
      <c r="F344" s="22" t="s">
        <v>26</v>
      </c>
      <c r="G344" s="23" t="s">
        <v>27</v>
      </c>
      <c r="H344" s="5"/>
      <c r="I344" s="20" t="s">
        <v>22</v>
      </c>
      <c r="J344" s="21" t="s">
        <v>23</v>
      </c>
      <c r="K344" s="21" t="s">
        <v>24</v>
      </c>
      <c r="L344" s="21" t="s">
        <v>25</v>
      </c>
      <c r="M344" s="22" t="s">
        <v>26</v>
      </c>
      <c r="N344" s="23" t="s">
        <v>27</v>
      </c>
      <c r="O344" s="5"/>
      <c r="P344" s="20" t="s">
        <v>22</v>
      </c>
      <c r="Q344" s="21" t="s">
        <v>23</v>
      </c>
      <c r="R344" s="21" t="s">
        <v>24</v>
      </c>
      <c r="S344" s="21" t="s">
        <v>25</v>
      </c>
      <c r="T344" s="22" t="s">
        <v>26</v>
      </c>
      <c r="U344" s="23" t="s">
        <v>27</v>
      </c>
      <c r="W344" s="20" t="s">
        <v>22</v>
      </c>
      <c r="X344" s="21" t="s">
        <v>23</v>
      </c>
      <c r="Y344" s="21" t="s">
        <v>24</v>
      </c>
      <c r="Z344" s="21" t="s">
        <v>25</v>
      </c>
      <c r="AA344" s="22" t="s">
        <v>26</v>
      </c>
      <c r="AB344" s="23" t="s">
        <v>27</v>
      </c>
      <c r="AD344" s="20" t="s">
        <v>22</v>
      </c>
      <c r="AE344" s="21" t="s">
        <v>23</v>
      </c>
      <c r="AF344" s="21" t="s">
        <v>24</v>
      </c>
      <c r="AG344" s="21" t="s">
        <v>25</v>
      </c>
      <c r="AH344" s="22" t="s">
        <v>26</v>
      </c>
      <c r="AI344" s="23" t="s">
        <v>27</v>
      </c>
      <c r="AK344" s="25"/>
      <c r="AL344" s="26" t="s">
        <v>24</v>
      </c>
      <c r="AM344" s="27" t="s">
        <v>25</v>
      </c>
      <c r="AN344" s="27" t="s">
        <v>27</v>
      </c>
      <c r="AO344" s="28" t="s">
        <v>28</v>
      </c>
    </row>
    <row r="345" spans="2:41" x14ac:dyDescent="0.25">
      <c r="B345" s="148"/>
      <c r="C345" s="149" t="s">
        <v>201</v>
      </c>
      <c r="D345" s="151">
        <v>23</v>
      </c>
      <c r="E345" s="151"/>
      <c r="F345" s="151"/>
      <c r="G345" s="153"/>
      <c r="H345" s="5"/>
      <c r="I345" s="148"/>
      <c r="J345" s="149" t="s">
        <v>201</v>
      </c>
      <c r="K345" s="151">
        <v>12</v>
      </c>
      <c r="L345" s="151"/>
      <c r="M345" s="151"/>
      <c r="N345" s="153"/>
      <c r="O345" s="5"/>
      <c r="P345" s="148"/>
      <c r="Q345" s="149" t="s">
        <v>201</v>
      </c>
      <c r="R345" s="151">
        <v>9</v>
      </c>
      <c r="S345" s="151"/>
      <c r="T345" s="151"/>
      <c r="U345" s="153"/>
      <c r="W345" s="29" t="s">
        <v>29</v>
      </c>
      <c r="X345" s="30" t="s">
        <v>201</v>
      </c>
      <c r="Y345" s="31">
        <v>7</v>
      </c>
      <c r="Z345" s="41">
        <v>0</v>
      </c>
      <c r="AA345" s="41"/>
      <c r="AB345" s="109">
        <v>7</v>
      </c>
      <c r="AD345" s="29" t="s">
        <v>29</v>
      </c>
      <c r="AE345" s="30" t="s">
        <v>201</v>
      </c>
      <c r="AF345" s="31">
        <v>3</v>
      </c>
      <c r="AG345" s="41">
        <v>0</v>
      </c>
      <c r="AH345" s="41"/>
      <c r="AI345" s="109">
        <v>4</v>
      </c>
      <c r="AK345" s="38" t="s">
        <v>29</v>
      </c>
      <c r="AL345" s="39">
        <v>11</v>
      </c>
      <c r="AM345" s="40">
        <v>0</v>
      </c>
      <c r="AN345" s="32">
        <f>SUM(AL345,AM345)</f>
        <v>11</v>
      </c>
      <c r="AO345" s="41">
        <f>AN345/AN348*100</f>
        <v>100</v>
      </c>
    </row>
    <row r="346" spans="2:41" x14ac:dyDescent="0.25">
      <c r="B346" s="148"/>
      <c r="C346" s="149">
        <v>0.25</v>
      </c>
      <c r="D346" s="151">
        <v>0</v>
      </c>
      <c r="E346" s="151"/>
      <c r="F346" s="151"/>
      <c r="G346" s="153"/>
      <c r="H346" s="5"/>
      <c r="I346" s="148"/>
      <c r="J346" s="149">
        <v>0.25</v>
      </c>
      <c r="K346" s="151">
        <v>0</v>
      </c>
      <c r="L346" s="151"/>
      <c r="M346" s="151"/>
      <c r="N346" s="153"/>
      <c r="O346" s="5"/>
      <c r="P346" s="148"/>
      <c r="Q346" s="149">
        <v>0.25</v>
      </c>
      <c r="R346" s="151">
        <v>0</v>
      </c>
      <c r="S346" s="151"/>
      <c r="T346" s="151"/>
      <c r="U346" s="153"/>
      <c r="W346" s="42"/>
      <c r="X346" s="30">
        <v>0.25</v>
      </c>
      <c r="Y346" s="41">
        <v>0</v>
      </c>
      <c r="Z346" s="41">
        <v>0</v>
      </c>
      <c r="AA346" s="41"/>
      <c r="AB346" s="172"/>
      <c r="AD346" s="42"/>
      <c r="AE346" s="30">
        <v>0.25</v>
      </c>
      <c r="AF346" s="31">
        <v>1</v>
      </c>
      <c r="AG346" s="41">
        <v>0</v>
      </c>
      <c r="AH346" s="41"/>
      <c r="AI346" s="172"/>
      <c r="AK346" s="38" t="s">
        <v>31</v>
      </c>
      <c r="AL346" s="2">
        <v>0</v>
      </c>
      <c r="AM346" s="40">
        <v>0</v>
      </c>
      <c r="AN346" s="41">
        <v>0</v>
      </c>
      <c r="AO346" s="41">
        <v>0</v>
      </c>
    </row>
    <row r="347" spans="2:41" x14ac:dyDescent="0.25">
      <c r="B347" s="148"/>
      <c r="C347" s="149">
        <v>0.5</v>
      </c>
      <c r="D347" s="151">
        <v>0</v>
      </c>
      <c r="E347" s="151"/>
      <c r="F347" s="151"/>
      <c r="G347" s="153"/>
      <c r="H347" s="5"/>
      <c r="I347" s="148"/>
      <c r="J347" s="149">
        <v>0.5</v>
      </c>
      <c r="K347" s="151">
        <v>0</v>
      </c>
      <c r="L347" s="151"/>
      <c r="M347" s="151"/>
      <c r="N347" s="153"/>
      <c r="O347" s="5"/>
      <c r="P347" s="148"/>
      <c r="Q347" s="149">
        <v>0.5</v>
      </c>
      <c r="R347" s="151">
        <v>0</v>
      </c>
      <c r="S347" s="151"/>
      <c r="T347" s="151"/>
      <c r="U347" s="153"/>
      <c r="W347" s="47"/>
      <c r="X347" s="48">
        <v>0.5</v>
      </c>
      <c r="Y347" s="59">
        <v>0</v>
      </c>
      <c r="Z347" s="59">
        <v>0</v>
      </c>
      <c r="AA347" s="59"/>
      <c r="AB347" s="115"/>
      <c r="AD347" s="47"/>
      <c r="AE347" s="48">
        <v>0.5</v>
      </c>
      <c r="AF347" s="59">
        <v>0</v>
      </c>
      <c r="AG347" s="59">
        <v>0</v>
      </c>
      <c r="AH347" s="59"/>
      <c r="AI347" s="115"/>
      <c r="AK347" s="56" t="s">
        <v>32</v>
      </c>
      <c r="AL347" s="57">
        <v>0</v>
      </c>
      <c r="AM347" s="58">
        <v>0</v>
      </c>
      <c r="AN347" s="50">
        <f>SUM(AL347,AM347)</f>
        <v>0</v>
      </c>
      <c r="AO347" s="59">
        <f>AN347/AN348*100</f>
        <v>0</v>
      </c>
    </row>
    <row r="348" spans="2:41" x14ac:dyDescent="0.25">
      <c r="B348" s="148"/>
      <c r="C348" s="149">
        <v>1</v>
      </c>
      <c r="D348" s="151">
        <v>0</v>
      </c>
      <c r="E348" s="151"/>
      <c r="F348" s="151"/>
      <c r="G348" s="153"/>
      <c r="H348" s="5"/>
      <c r="I348" s="148"/>
      <c r="J348" s="149">
        <v>1</v>
      </c>
      <c r="K348" s="151">
        <v>0</v>
      </c>
      <c r="L348" s="151"/>
      <c r="M348" s="151"/>
      <c r="N348" s="153"/>
      <c r="O348" s="5"/>
      <c r="P348" s="148"/>
      <c r="Q348" s="149">
        <v>1</v>
      </c>
      <c r="R348" s="151">
        <v>0</v>
      </c>
      <c r="S348" s="151"/>
      <c r="T348" s="151"/>
      <c r="U348" s="153"/>
      <c r="W348" s="29" t="s">
        <v>31</v>
      </c>
      <c r="X348" s="30">
        <v>1</v>
      </c>
      <c r="Y348" s="41">
        <v>0</v>
      </c>
      <c r="Z348" s="41">
        <v>0</v>
      </c>
      <c r="AA348" s="41"/>
      <c r="AB348" s="109">
        <v>0</v>
      </c>
      <c r="AD348" s="29" t="s">
        <v>32</v>
      </c>
      <c r="AE348" s="30">
        <v>1</v>
      </c>
      <c r="AF348" s="41">
        <v>0</v>
      </c>
      <c r="AG348" s="41">
        <v>0</v>
      </c>
      <c r="AH348" s="41"/>
      <c r="AI348" s="109">
        <v>0</v>
      </c>
      <c r="AK348" s="56" t="s">
        <v>27</v>
      </c>
      <c r="AL348" s="64">
        <f>SUM(AL345,AL347)</f>
        <v>11</v>
      </c>
      <c r="AM348" s="50">
        <f>SUM(AM345,AM347)</f>
        <v>0</v>
      </c>
      <c r="AN348" s="50">
        <f>SUM(AL345:AM347)</f>
        <v>11</v>
      </c>
      <c r="AO348" s="59"/>
    </row>
    <row r="349" spans="2:41" x14ac:dyDescent="0.25">
      <c r="B349" s="148"/>
      <c r="C349" s="149">
        <v>2</v>
      </c>
      <c r="D349" s="151">
        <v>0</v>
      </c>
      <c r="E349" s="151"/>
      <c r="F349" s="151"/>
      <c r="G349" s="153"/>
      <c r="H349" s="5"/>
      <c r="I349" s="148"/>
      <c r="J349" s="149">
        <v>2</v>
      </c>
      <c r="K349" s="151">
        <v>0</v>
      </c>
      <c r="L349" s="151"/>
      <c r="M349" s="151"/>
      <c r="N349" s="153"/>
      <c r="O349" s="5"/>
      <c r="P349" s="148"/>
      <c r="Q349" s="149">
        <v>2</v>
      </c>
      <c r="R349" s="151">
        <v>0</v>
      </c>
      <c r="S349" s="151"/>
      <c r="T349" s="151"/>
      <c r="U349" s="153"/>
      <c r="W349" s="47"/>
      <c r="X349" s="48">
        <v>2</v>
      </c>
      <c r="Y349" s="59">
        <v>0</v>
      </c>
      <c r="Z349" s="59">
        <v>0</v>
      </c>
      <c r="AA349" s="59"/>
      <c r="AB349" s="115"/>
      <c r="AD349" s="42"/>
      <c r="AE349" s="30">
        <v>2</v>
      </c>
      <c r="AF349" s="41">
        <v>0</v>
      </c>
      <c r="AG349" s="41">
        <v>0</v>
      </c>
      <c r="AH349" s="41"/>
      <c r="AI349" s="172"/>
      <c r="AK349" s="56" t="s">
        <v>28</v>
      </c>
      <c r="AL349" s="64">
        <f>AL348/AN348*100</f>
        <v>100</v>
      </c>
      <c r="AM349" s="59">
        <f>AM348/AN348*100</f>
        <v>0</v>
      </c>
      <c r="AN349" s="59"/>
      <c r="AO349" s="59"/>
    </row>
    <row r="350" spans="2:41" x14ac:dyDescent="0.25">
      <c r="B350" s="148"/>
      <c r="C350" s="149">
        <v>4</v>
      </c>
      <c r="D350" s="151">
        <v>0</v>
      </c>
      <c r="E350" s="151"/>
      <c r="F350" s="151"/>
      <c r="G350" s="153"/>
      <c r="H350" s="5"/>
      <c r="I350" s="148"/>
      <c r="J350" s="149">
        <v>4</v>
      </c>
      <c r="K350" s="151">
        <v>0</v>
      </c>
      <c r="L350" s="151"/>
      <c r="M350" s="151"/>
      <c r="N350" s="153"/>
      <c r="O350" s="5"/>
      <c r="P350" s="148"/>
      <c r="Q350" s="149">
        <v>4</v>
      </c>
      <c r="R350" s="151">
        <v>0</v>
      </c>
      <c r="S350" s="151"/>
      <c r="T350" s="151"/>
      <c r="U350" s="153"/>
      <c r="W350" s="29" t="s">
        <v>32</v>
      </c>
      <c r="X350" s="30">
        <v>4</v>
      </c>
      <c r="Y350" s="41">
        <v>0</v>
      </c>
      <c r="Z350" s="41">
        <v>0</v>
      </c>
      <c r="AA350" s="41"/>
      <c r="AB350" s="109">
        <v>0</v>
      </c>
      <c r="AD350" s="42"/>
      <c r="AE350" s="30">
        <v>4</v>
      </c>
      <c r="AF350" s="41">
        <v>0</v>
      </c>
      <c r="AG350" s="41">
        <v>0</v>
      </c>
      <c r="AH350" s="41"/>
      <c r="AI350" s="172"/>
    </row>
    <row r="351" spans="2:41" x14ac:dyDescent="0.25">
      <c r="B351" s="160"/>
      <c r="C351" s="161" t="s">
        <v>119</v>
      </c>
      <c r="D351" s="162">
        <v>0</v>
      </c>
      <c r="E351" s="162"/>
      <c r="F351" s="162"/>
      <c r="G351" s="165"/>
      <c r="H351" s="5"/>
      <c r="I351" s="160"/>
      <c r="J351" s="161" t="s">
        <v>119</v>
      </c>
      <c r="K351" s="162">
        <v>0</v>
      </c>
      <c r="L351" s="162"/>
      <c r="M351" s="162"/>
      <c r="N351" s="165"/>
      <c r="O351" s="5"/>
      <c r="P351" s="160"/>
      <c r="Q351" s="161" t="s">
        <v>119</v>
      </c>
      <c r="R351" s="162">
        <v>0</v>
      </c>
      <c r="S351" s="162"/>
      <c r="T351" s="162"/>
      <c r="U351" s="165"/>
      <c r="W351" s="47"/>
      <c r="X351" s="48" t="s">
        <v>119</v>
      </c>
      <c r="Y351" s="59">
        <v>0</v>
      </c>
      <c r="Z351" s="59">
        <v>0</v>
      </c>
      <c r="AA351" s="59"/>
      <c r="AB351" s="115"/>
      <c r="AD351" s="47"/>
      <c r="AE351" s="48" t="s">
        <v>119</v>
      </c>
      <c r="AF351" s="59">
        <v>0</v>
      </c>
      <c r="AG351" s="59">
        <v>0</v>
      </c>
      <c r="AH351" s="59"/>
      <c r="AI351" s="115"/>
    </row>
    <row r="352" spans="2:41" ht="15.75" thickBot="1" x14ac:dyDescent="0.3">
      <c r="B352" s="167"/>
      <c r="C352" s="168"/>
      <c r="D352" s="169"/>
      <c r="E352" s="169"/>
      <c r="F352" s="169"/>
      <c r="G352" s="171"/>
      <c r="H352" s="5"/>
      <c r="I352" s="167"/>
      <c r="J352" s="168"/>
      <c r="K352" s="169"/>
      <c r="L352" s="169"/>
      <c r="M352" s="169"/>
      <c r="N352" s="171"/>
      <c r="O352" s="5"/>
      <c r="P352" s="167"/>
      <c r="Q352" s="168"/>
      <c r="R352" s="169"/>
      <c r="S352" s="169"/>
      <c r="T352" s="169"/>
      <c r="U352" s="171"/>
      <c r="W352" s="70"/>
      <c r="X352" s="71"/>
      <c r="Y352" s="173">
        <v>7</v>
      </c>
      <c r="Z352" s="173">
        <v>0</v>
      </c>
      <c r="AA352" s="173"/>
      <c r="AB352" s="138">
        <v>7</v>
      </c>
      <c r="AD352" s="70"/>
      <c r="AE352" s="71"/>
      <c r="AF352" s="173">
        <v>4</v>
      </c>
      <c r="AG352" s="173">
        <v>0</v>
      </c>
      <c r="AH352" s="173"/>
      <c r="AI352" s="138">
        <v>4</v>
      </c>
    </row>
    <row r="353" spans="2:41" x14ac:dyDescent="0.25">
      <c r="B353" s="5"/>
      <c r="C353" s="230"/>
      <c r="D353" s="5"/>
      <c r="E353" s="5"/>
      <c r="F353" s="5"/>
      <c r="G353" s="5"/>
      <c r="H353" s="5"/>
      <c r="I353" s="5"/>
      <c r="J353" s="230"/>
      <c r="K353" s="5"/>
      <c r="L353" s="5"/>
      <c r="M353" s="5"/>
      <c r="N353" s="5"/>
      <c r="O353" s="5"/>
      <c r="P353" s="5"/>
      <c r="Q353" s="230"/>
      <c r="R353" s="5"/>
      <c r="S353" s="5"/>
      <c r="T353" s="5"/>
      <c r="U353" s="5"/>
      <c r="X353" s="78"/>
      <c r="AE353" s="78"/>
    </row>
    <row r="354" spans="2:41" ht="19.5" thickBot="1" x14ac:dyDescent="0.35">
      <c r="B354" s="139" t="s">
        <v>206</v>
      </c>
      <c r="C354" s="378"/>
      <c r="D354" s="379"/>
      <c r="E354" s="379"/>
      <c r="F354" s="379"/>
      <c r="G354" s="379"/>
      <c r="H354" s="5"/>
      <c r="I354" s="139" t="s">
        <v>206</v>
      </c>
      <c r="J354" s="378"/>
      <c r="K354" s="379"/>
      <c r="L354" s="379"/>
      <c r="M354" s="379"/>
      <c r="N354" s="379"/>
      <c r="O354" s="5"/>
      <c r="P354" s="139" t="s">
        <v>206</v>
      </c>
      <c r="Q354" s="378"/>
      <c r="R354" s="379"/>
      <c r="S354" s="379"/>
      <c r="T354" s="379"/>
      <c r="U354" s="379"/>
      <c r="W354" s="9" t="s">
        <v>207</v>
      </c>
      <c r="X354" s="381"/>
      <c r="Y354" s="380"/>
      <c r="Z354" s="12"/>
      <c r="AA354" s="380"/>
      <c r="AB354" s="380"/>
      <c r="AC354" s="380"/>
      <c r="AD354" s="9" t="s">
        <v>208</v>
      </c>
      <c r="AE354" s="381"/>
      <c r="AF354" s="12"/>
      <c r="AG354" s="380"/>
      <c r="AK354" s="9" t="s">
        <v>209</v>
      </c>
    </row>
    <row r="355" spans="2:41" ht="30" x14ac:dyDescent="0.25">
      <c r="B355" s="20" t="s">
        <v>22</v>
      </c>
      <c r="C355" s="21" t="s">
        <v>23</v>
      </c>
      <c r="D355" s="21" t="s">
        <v>24</v>
      </c>
      <c r="E355" s="21" t="s">
        <v>25</v>
      </c>
      <c r="F355" s="22" t="s">
        <v>26</v>
      </c>
      <c r="G355" s="23" t="s">
        <v>27</v>
      </c>
      <c r="H355" s="5"/>
      <c r="I355" s="20" t="s">
        <v>22</v>
      </c>
      <c r="J355" s="21" t="s">
        <v>23</v>
      </c>
      <c r="K355" s="21" t="s">
        <v>24</v>
      </c>
      <c r="L355" s="21" t="s">
        <v>25</v>
      </c>
      <c r="M355" s="22" t="s">
        <v>26</v>
      </c>
      <c r="N355" s="23" t="s">
        <v>27</v>
      </c>
      <c r="O355" s="5"/>
      <c r="P355" s="20" t="s">
        <v>22</v>
      </c>
      <c r="Q355" s="21" t="s">
        <v>23</v>
      </c>
      <c r="R355" s="21" t="s">
        <v>24</v>
      </c>
      <c r="S355" s="21" t="s">
        <v>25</v>
      </c>
      <c r="T355" s="22" t="s">
        <v>26</v>
      </c>
      <c r="U355" s="23" t="s">
        <v>27</v>
      </c>
      <c r="W355" s="20" t="s">
        <v>22</v>
      </c>
      <c r="X355" s="21" t="s">
        <v>23</v>
      </c>
      <c r="Y355" s="21" t="s">
        <v>24</v>
      </c>
      <c r="Z355" s="21" t="s">
        <v>25</v>
      </c>
      <c r="AA355" s="22" t="s">
        <v>26</v>
      </c>
      <c r="AB355" s="23" t="s">
        <v>27</v>
      </c>
      <c r="AD355" s="20" t="s">
        <v>22</v>
      </c>
      <c r="AE355" s="21" t="s">
        <v>23</v>
      </c>
      <c r="AF355" s="21" t="s">
        <v>24</v>
      </c>
      <c r="AG355" s="21" t="s">
        <v>25</v>
      </c>
      <c r="AH355" s="22" t="s">
        <v>26</v>
      </c>
      <c r="AI355" s="23" t="s">
        <v>27</v>
      </c>
      <c r="AK355" s="25"/>
      <c r="AL355" s="26" t="s">
        <v>24</v>
      </c>
      <c r="AM355" s="27" t="s">
        <v>25</v>
      </c>
      <c r="AN355" s="27" t="s">
        <v>27</v>
      </c>
      <c r="AO355" s="28" t="s">
        <v>28</v>
      </c>
    </row>
    <row r="356" spans="2:41" x14ac:dyDescent="0.25">
      <c r="B356" s="148"/>
      <c r="C356" s="149" t="s">
        <v>118</v>
      </c>
      <c r="D356" s="151">
        <v>23</v>
      </c>
      <c r="E356" s="151"/>
      <c r="F356" s="151"/>
      <c r="G356" s="153"/>
      <c r="H356" s="5"/>
      <c r="I356" s="148"/>
      <c r="J356" s="149" t="s">
        <v>118</v>
      </c>
      <c r="K356" s="151">
        <v>12</v>
      </c>
      <c r="L356" s="151"/>
      <c r="M356" s="151"/>
      <c r="N356" s="153"/>
      <c r="O356" s="5"/>
      <c r="P356" s="148"/>
      <c r="Q356" s="149" t="s">
        <v>118</v>
      </c>
      <c r="R356" s="151">
        <v>9</v>
      </c>
      <c r="S356" s="151"/>
      <c r="T356" s="151"/>
      <c r="U356" s="153"/>
      <c r="W356" s="29" t="s">
        <v>29</v>
      </c>
      <c r="X356" s="107" t="s">
        <v>118</v>
      </c>
      <c r="Y356" s="87">
        <v>7</v>
      </c>
      <c r="Z356" s="110">
        <v>0</v>
      </c>
      <c r="AA356" s="110"/>
      <c r="AB356" s="109">
        <v>7</v>
      </c>
      <c r="AD356" s="60" t="s">
        <v>29</v>
      </c>
      <c r="AE356" s="48" t="s">
        <v>118</v>
      </c>
      <c r="AF356" s="58">
        <v>4</v>
      </c>
      <c r="AG356" s="59">
        <v>0</v>
      </c>
      <c r="AH356" s="59"/>
      <c r="AI356" s="118">
        <v>4</v>
      </c>
      <c r="AK356" s="38" t="s">
        <v>29</v>
      </c>
      <c r="AL356" s="39">
        <v>11</v>
      </c>
      <c r="AM356" s="40">
        <v>0</v>
      </c>
      <c r="AN356" s="32">
        <f>SUM(AL356,AM356)</f>
        <v>11</v>
      </c>
      <c r="AO356" s="41">
        <f>AN356/AN359*100</f>
        <v>100</v>
      </c>
    </row>
    <row r="357" spans="2:41" x14ac:dyDescent="0.25">
      <c r="B357" s="148"/>
      <c r="C357" s="149">
        <v>1</v>
      </c>
      <c r="D357" s="151">
        <v>0</v>
      </c>
      <c r="E357" s="151"/>
      <c r="F357" s="151"/>
      <c r="G357" s="153"/>
      <c r="H357" s="5"/>
      <c r="I357" s="148"/>
      <c r="J357" s="149">
        <v>1</v>
      </c>
      <c r="K357" s="151">
        <v>0</v>
      </c>
      <c r="L357" s="151"/>
      <c r="M357" s="151"/>
      <c r="N357" s="153"/>
      <c r="O357" s="5"/>
      <c r="P357" s="148"/>
      <c r="Q357" s="149">
        <v>1</v>
      </c>
      <c r="R357" s="151">
        <v>0</v>
      </c>
      <c r="S357" s="151"/>
      <c r="T357" s="151"/>
      <c r="U357" s="153"/>
      <c r="W357" s="47"/>
      <c r="X357" s="48">
        <v>1</v>
      </c>
      <c r="Y357" s="59">
        <v>0</v>
      </c>
      <c r="Z357" s="59">
        <v>0</v>
      </c>
      <c r="AA357" s="59"/>
      <c r="AB357" s="115"/>
      <c r="AD357" s="29" t="s">
        <v>32</v>
      </c>
      <c r="AE357" s="30">
        <v>1</v>
      </c>
      <c r="AF357" s="41">
        <v>0</v>
      </c>
      <c r="AG357" s="41">
        <v>0</v>
      </c>
      <c r="AH357" s="41"/>
      <c r="AI357" s="109">
        <v>0</v>
      </c>
      <c r="AK357" s="38" t="s">
        <v>31</v>
      </c>
      <c r="AL357" s="2">
        <v>0</v>
      </c>
      <c r="AM357" s="40">
        <v>0</v>
      </c>
      <c r="AN357" s="41">
        <v>0</v>
      </c>
      <c r="AO357" s="41">
        <v>0</v>
      </c>
    </row>
    <row r="358" spans="2:41" x14ac:dyDescent="0.25">
      <c r="B358" s="148"/>
      <c r="C358" s="149">
        <v>2</v>
      </c>
      <c r="D358" s="151">
        <v>0</v>
      </c>
      <c r="E358" s="151"/>
      <c r="F358" s="151"/>
      <c r="G358" s="153"/>
      <c r="H358" s="5"/>
      <c r="I358" s="148"/>
      <c r="J358" s="149">
        <v>2</v>
      </c>
      <c r="K358" s="151">
        <v>0</v>
      </c>
      <c r="L358" s="151"/>
      <c r="M358" s="151"/>
      <c r="N358" s="153"/>
      <c r="O358" s="5"/>
      <c r="P358" s="148"/>
      <c r="Q358" s="149">
        <v>2</v>
      </c>
      <c r="R358" s="151">
        <v>0</v>
      </c>
      <c r="S358" s="151"/>
      <c r="T358" s="151"/>
      <c r="U358" s="153"/>
      <c r="W358" s="60" t="s">
        <v>31</v>
      </c>
      <c r="X358" s="48">
        <v>2</v>
      </c>
      <c r="Y358" s="59">
        <v>0</v>
      </c>
      <c r="Z358" s="59">
        <v>0</v>
      </c>
      <c r="AA358" s="59"/>
      <c r="AB358" s="382">
        <v>0</v>
      </c>
      <c r="AD358" s="42"/>
      <c r="AE358" s="30">
        <v>2</v>
      </c>
      <c r="AF358" s="41">
        <v>0</v>
      </c>
      <c r="AG358" s="41">
        <v>0</v>
      </c>
      <c r="AH358" s="41"/>
      <c r="AI358" s="172"/>
      <c r="AK358" s="56" t="s">
        <v>32</v>
      </c>
      <c r="AL358" s="57">
        <v>0</v>
      </c>
      <c r="AM358" s="58">
        <v>0</v>
      </c>
      <c r="AN358" s="50">
        <f>SUM(AL358,AM358)</f>
        <v>0</v>
      </c>
      <c r="AO358" s="59">
        <f>AN358/AN359*100</f>
        <v>0</v>
      </c>
    </row>
    <row r="359" spans="2:41" x14ac:dyDescent="0.25">
      <c r="B359" s="148"/>
      <c r="C359" s="149">
        <v>4</v>
      </c>
      <c r="D359" s="151">
        <v>0</v>
      </c>
      <c r="E359" s="151"/>
      <c r="F359" s="151"/>
      <c r="G359" s="153"/>
      <c r="H359" s="5"/>
      <c r="I359" s="148"/>
      <c r="J359" s="149">
        <v>4</v>
      </c>
      <c r="K359" s="151">
        <v>0</v>
      </c>
      <c r="L359" s="151"/>
      <c r="M359" s="151"/>
      <c r="N359" s="153"/>
      <c r="O359" s="5"/>
      <c r="P359" s="148"/>
      <c r="Q359" s="149">
        <v>4</v>
      </c>
      <c r="R359" s="151">
        <v>0</v>
      </c>
      <c r="S359" s="151"/>
      <c r="T359" s="151"/>
      <c r="U359" s="153"/>
      <c r="W359" s="29" t="s">
        <v>32</v>
      </c>
      <c r="X359" s="30">
        <v>4</v>
      </c>
      <c r="Y359" s="41">
        <v>0</v>
      </c>
      <c r="Z359" s="41">
        <v>0</v>
      </c>
      <c r="AA359" s="41"/>
      <c r="AB359" s="109">
        <v>0</v>
      </c>
      <c r="AD359" s="42"/>
      <c r="AE359" s="30">
        <v>4</v>
      </c>
      <c r="AF359" s="41">
        <v>0</v>
      </c>
      <c r="AG359" s="41">
        <v>0</v>
      </c>
      <c r="AH359" s="41"/>
      <c r="AI359" s="172"/>
      <c r="AK359" s="56" t="s">
        <v>27</v>
      </c>
      <c r="AL359" s="64">
        <f>SUM(AL356,AL358)</f>
        <v>11</v>
      </c>
      <c r="AM359" s="50">
        <f>SUM(AM356,AM358)</f>
        <v>0</v>
      </c>
      <c r="AN359" s="50">
        <f>SUM(AL356:AM358)</f>
        <v>11</v>
      </c>
      <c r="AO359" s="59"/>
    </row>
    <row r="360" spans="2:41" x14ac:dyDescent="0.25">
      <c r="B360" s="148"/>
      <c r="C360" s="149">
        <v>8</v>
      </c>
      <c r="D360" s="151">
        <v>0</v>
      </c>
      <c r="E360" s="151"/>
      <c r="F360" s="151"/>
      <c r="G360" s="153"/>
      <c r="H360" s="5"/>
      <c r="I360" s="148"/>
      <c r="J360" s="149">
        <v>8</v>
      </c>
      <c r="K360" s="151">
        <v>0</v>
      </c>
      <c r="L360" s="151"/>
      <c r="M360" s="151"/>
      <c r="N360" s="153"/>
      <c r="O360" s="5"/>
      <c r="P360" s="148"/>
      <c r="Q360" s="149">
        <v>8</v>
      </c>
      <c r="R360" s="151">
        <v>0</v>
      </c>
      <c r="S360" s="151"/>
      <c r="T360" s="151"/>
      <c r="U360" s="153"/>
      <c r="W360" s="42"/>
      <c r="X360" s="30">
        <v>8</v>
      </c>
      <c r="Y360" s="41">
        <v>0</v>
      </c>
      <c r="Z360" s="41">
        <v>0</v>
      </c>
      <c r="AA360" s="41"/>
      <c r="AB360" s="172"/>
      <c r="AD360" s="42"/>
      <c r="AE360" s="30">
        <v>8</v>
      </c>
      <c r="AF360" s="41">
        <v>0</v>
      </c>
      <c r="AG360" s="41">
        <v>0</v>
      </c>
      <c r="AH360" s="41"/>
      <c r="AI360" s="172"/>
      <c r="AK360" s="56" t="s">
        <v>28</v>
      </c>
      <c r="AL360" s="64">
        <f>AL359/AN359*100</f>
        <v>100</v>
      </c>
      <c r="AM360" s="59">
        <f>AM359/AN359*100</f>
        <v>0</v>
      </c>
      <c r="AN360" s="59"/>
      <c r="AO360" s="59"/>
    </row>
    <row r="361" spans="2:41" x14ac:dyDescent="0.25">
      <c r="B361" s="160"/>
      <c r="C361" s="161" t="s">
        <v>61</v>
      </c>
      <c r="D361" s="162">
        <v>0</v>
      </c>
      <c r="E361" s="162"/>
      <c r="F361" s="162"/>
      <c r="G361" s="165"/>
      <c r="H361" s="5"/>
      <c r="I361" s="160"/>
      <c r="J361" s="161" t="s">
        <v>61</v>
      </c>
      <c r="K361" s="162">
        <v>0</v>
      </c>
      <c r="L361" s="162"/>
      <c r="M361" s="162"/>
      <c r="N361" s="165"/>
      <c r="O361" s="5"/>
      <c r="P361" s="160"/>
      <c r="Q361" s="161" t="s">
        <v>61</v>
      </c>
      <c r="R361" s="162">
        <v>0</v>
      </c>
      <c r="S361" s="162"/>
      <c r="T361" s="162"/>
      <c r="U361" s="165"/>
      <c r="W361" s="47"/>
      <c r="X361" s="48" t="s">
        <v>61</v>
      </c>
      <c r="Y361" s="59">
        <v>0</v>
      </c>
      <c r="Z361" s="59">
        <v>0</v>
      </c>
      <c r="AA361" s="59"/>
      <c r="AB361" s="115"/>
      <c r="AD361" s="47"/>
      <c r="AE361" s="48" t="s">
        <v>61</v>
      </c>
      <c r="AF361" s="59">
        <v>0</v>
      </c>
      <c r="AG361" s="59">
        <v>0</v>
      </c>
      <c r="AH361" s="59"/>
      <c r="AI361" s="115"/>
    </row>
    <row r="362" spans="2:41" ht="15.75" thickBot="1" x14ac:dyDescent="0.3">
      <c r="B362" s="167"/>
      <c r="C362" s="168"/>
      <c r="D362" s="169"/>
      <c r="E362" s="169"/>
      <c r="F362" s="169"/>
      <c r="G362" s="171"/>
      <c r="H362" s="5"/>
      <c r="I362" s="167"/>
      <c r="J362" s="168"/>
      <c r="K362" s="169"/>
      <c r="L362" s="169"/>
      <c r="M362" s="169"/>
      <c r="N362" s="171"/>
      <c r="O362" s="5"/>
      <c r="P362" s="167"/>
      <c r="Q362" s="168"/>
      <c r="R362" s="169"/>
      <c r="S362" s="169"/>
      <c r="T362" s="169"/>
      <c r="U362" s="171"/>
      <c r="W362" s="70"/>
      <c r="X362" s="71"/>
      <c r="Y362" s="173">
        <v>7</v>
      </c>
      <c r="Z362" s="173">
        <v>0</v>
      </c>
      <c r="AA362" s="173"/>
      <c r="AB362" s="138">
        <v>7</v>
      </c>
      <c r="AD362" s="70"/>
      <c r="AE362" s="71"/>
      <c r="AF362" s="173">
        <v>4</v>
      </c>
      <c r="AG362" s="173">
        <v>0</v>
      </c>
      <c r="AH362" s="173"/>
      <c r="AI362" s="138">
        <v>4</v>
      </c>
    </row>
    <row r="363" spans="2:41" ht="18.75" x14ac:dyDescent="0.3">
      <c r="B363" s="5"/>
      <c r="C363" s="230"/>
      <c r="D363" s="5"/>
      <c r="E363" s="5"/>
      <c r="F363" s="5"/>
      <c r="G363" s="5"/>
      <c r="H363" s="5"/>
      <c r="I363" s="5"/>
      <c r="J363" s="230"/>
      <c r="K363" s="5"/>
      <c r="L363" s="5"/>
      <c r="M363" s="5"/>
      <c r="N363" s="5"/>
      <c r="O363" s="5"/>
      <c r="P363" s="5"/>
      <c r="Q363" s="230"/>
      <c r="R363" s="5"/>
      <c r="S363" s="5"/>
      <c r="T363" s="5"/>
      <c r="U363" s="5"/>
      <c r="X363" s="78"/>
      <c r="AE363" s="78"/>
      <c r="AK363" s="9" t="s">
        <v>210</v>
      </c>
    </row>
    <row r="364" spans="2:41" ht="19.5" thickBot="1" x14ac:dyDescent="0.35">
      <c r="B364" s="139" t="s">
        <v>211</v>
      </c>
      <c r="C364" s="378"/>
      <c r="D364" s="379"/>
      <c r="E364" s="379"/>
      <c r="F364" s="379"/>
      <c r="G364" s="379"/>
      <c r="H364" s="5"/>
      <c r="I364" s="139" t="s">
        <v>211</v>
      </c>
      <c r="J364" s="378"/>
      <c r="K364" s="379"/>
      <c r="L364" s="379"/>
      <c r="M364" s="379"/>
      <c r="N364" s="379"/>
      <c r="O364" s="5"/>
      <c r="P364" s="139" t="s">
        <v>211</v>
      </c>
      <c r="Q364" s="378"/>
      <c r="R364" s="379"/>
      <c r="S364" s="379"/>
      <c r="T364" s="379"/>
      <c r="U364" s="379"/>
      <c r="W364" s="9" t="s">
        <v>212</v>
      </c>
      <c r="X364" s="381"/>
      <c r="Y364" s="380"/>
      <c r="Z364" s="12"/>
      <c r="AA364" s="380"/>
      <c r="AB364" s="380"/>
      <c r="AC364" s="380"/>
      <c r="AD364" s="9" t="s">
        <v>212</v>
      </c>
      <c r="AE364" s="381"/>
      <c r="AF364" s="12"/>
      <c r="AK364" s="25"/>
      <c r="AL364" s="26" t="s">
        <v>24</v>
      </c>
      <c r="AM364" s="27" t="s">
        <v>25</v>
      </c>
      <c r="AN364" s="27" t="s">
        <v>27</v>
      </c>
      <c r="AO364" s="28" t="s">
        <v>28</v>
      </c>
    </row>
    <row r="365" spans="2:41" ht="30" x14ac:dyDescent="0.25">
      <c r="B365" s="20" t="s">
        <v>22</v>
      </c>
      <c r="C365" s="21" t="s">
        <v>23</v>
      </c>
      <c r="D365" s="21" t="s">
        <v>24</v>
      </c>
      <c r="E365" s="21" t="s">
        <v>25</v>
      </c>
      <c r="F365" s="22" t="s">
        <v>26</v>
      </c>
      <c r="G365" s="23" t="s">
        <v>27</v>
      </c>
      <c r="H365" s="5"/>
      <c r="I365" s="20" t="s">
        <v>22</v>
      </c>
      <c r="J365" s="21" t="s">
        <v>23</v>
      </c>
      <c r="K365" s="21" t="s">
        <v>24</v>
      </c>
      <c r="L365" s="21" t="s">
        <v>25</v>
      </c>
      <c r="M365" s="22" t="s">
        <v>26</v>
      </c>
      <c r="N365" s="23" t="s">
        <v>27</v>
      </c>
      <c r="O365" s="5"/>
      <c r="P365" s="20" t="s">
        <v>22</v>
      </c>
      <c r="Q365" s="21" t="s">
        <v>23</v>
      </c>
      <c r="R365" s="21" t="s">
        <v>24</v>
      </c>
      <c r="S365" s="21" t="s">
        <v>25</v>
      </c>
      <c r="T365" s="22" t="s">
        <v>26</v>
      </c>
      <c r="U365" s="23" t="s">
        <v>27</v>
      </c>
      <c r="W365" s="20" t="s">
        <v>22</v>
      </c>
      <c r="X365" s="21" t="s">
        <v>23</v>
      </c>
      <c r="Y365" s="21" t="s">
        <v>24</v>
      </c>
      <c r="Z365" s="21" t="s">
        <v>25</v>
      </c>
      <c r="AA365" s="22" t="s">
        <v>26</v>
      </c>
      <c r="AB365" s="23" t="s">
        <v>27</v>
      </c>
      <c r="AD365" s="20" t="s">
        <v>22</v>
      </c>
      <c r="AE365" s="21" t="s">
        <v>23</v>
      </c>
      <c r="AF365" s="21" t="s">
        <v>24</v>
      </c>
      <c r="AG365" s="21" t="s">
        <v>25</v>
      </c>
      <c r="AH365" s="21" t="s">
        <v>26</v>
      </c>
      <c r="AI365" s="23" t="s">
        <v>27</v>
      </c>
      <c r="AK365" s="38" t="s">
        <v>29</v>
      </c>
      <c r="AL365" s="39">
        <v>11</v>
      </c>
      <c r="AM365" s="40">
        <v>0</v>
      </c>
      <c r="AN365" s="32">
        <f>SUM(AL365,AM365)</f>
        <v>11</v>
      </c>
      <c r="AO365" s="41">
        <f>AN365/AN367*100</f>
        <v>100</v>
      </c>
    </row>
    <row r="366" spans="2:41" x14ac:dyDescent="0.25">
      <c r="B366" s="148"/>
      <c r="C366" s="149" t="s">
        <v>118</v>
      </c>
      <c r="D366" s="151">
        <v>23</v>
      </c>
      <c r="E366" s="151"/>
      <c r="F366" s="151"/>
      <c r="G366" s="153"/>
      <c r="H366" s="5"/>
      <c r="I366" s="148"/>
      <c r="J366" s="149" t="s">
        <v>118</v>
      </c>
      <c r="K366" s="151">
        <v>12</v>
      </c>
      <c r="L366" s="151"/>
      <c r="M366" s="151"/>
      <c r="N366" s="153"/>
      <c r="O366" s="5"/>
      <c r="P366" s="148"/>
      <c r="Q366" s="149" t="s">
        <v>118</v>
      </c>
      <c r="R366" s="151">
        <v>9</v>
      </c>
      <c r="S366" s="151"/>
      <c r="T366" s="151"/>
      <c r="U366" s="153"/>
      <c r="W366" s="60" t="s">
        <v>29</v>
      </c>
      <c r="X366" s="48" t="s">
        <v>118</v>
      </c>
      <c r="Y366" s="58">
        <v>7</v>
      </c>
      <c r="Z366" s="59">
        <v>0</v>
      </c>
      <c r="AA366" s="59"/>
      <c r="AB366" s="118">
        <v>7</v>
      </c>
      <c r="AD366" s="60" t="s">
        <v>29</v>
      </c>
      <c r="AE366" s="48" t="s">
        <v>118</v>
      </c>
      <c r="AF366" s="58">
        <v>4</v>
      </c>
      <c r="AG366" s="59">
        <v>0</v>
      </c>
      <c r="AH366" s="59"/>
      <c r="AI366" s="118">
        <v>4</v>
      </c>
      <c r="AK366" s="56" t="s">
        <v>32</v>
      </c>
      <c r="AL366" s="57">
        <v>0</v>
      </c>
      <c r="AM366" s="58">
        <v>0</v>
      </c>
      <c r="AN366" s="50">
        <f>SUM(AL366,AM366)</f>
        <v>0</v>
      </c>
      <c r="AO366" s="59">
        <f>AN366/AN367*100</f>
        <v>0</v>
      </c>
    </row>
    <row r="367" spans="2:41" x14ac:dyDescent="0.25">
      <c r="B367" s="148"/>
      <c r="C367" s="149">
        <v>1</v>
      </c>
      <c r="D367" s="151">
        <v>0</v>
      </c>
      <c r="E367" s="151"/>
      <c r="F367" s="151"/>
      <c r="G367" s="153"/>
      <c r="H367" s="5"/>
      <c r="I367" s="148"/>
      <c r="J367" s="149">
        <v>1</v>
      </c>
      <c r="K367" s="151">
        <v>0</v>
      </c>
      <c r="L367" s="151"/>
      <c r="M367" s="151"/>
      <c r="N367" s="153"/>
      <c r="O367" s="5"/>
      <c r="P367" s="148"/>
      <c r="Q367" s="149">
        <v>1</v>
      </c>
      <c r="R367" s="151">
        <v>0</v>
      </c>
      <c r="S367" s="151"/>
      <c r="T367" s="151"/>
      <c r="U367" s="153"/>
      <c r="W367" s="29" t="s">
        <v>32</v>
      </c>
      <c r="X367" s="30">
        <v>1</v>
      </c>
      <c r="Y367" s="41">
        <v>0</v>
      </c>
      <c r="Z367" s="41">
        <v>0</v>
      </c>
      <c r="AA367" s="41"/>
      <c r="AB367" s="109">
        <v>0</v>
      </c>
      <c r="AD367" s="29" t="s">
        <v>32</v>
      </c>
      <c r="AE367" s="30">
        <v>1</v>
      </c>
      <c r="AF367" s="41">
        <v>0</v>
      </c>
      <c r="AG367" s="41">
        <v>0</v>
      </c>
      <c r="AH367" s="41"/>
      <c r="AI367" s="120">
        <v>0</v>
      </c>
      <c r="AK367" s="56" t="s">
        <v>27</v>
      </c>
      <c r="AL367" s="64">
        <f>SUM(AL365,AL366)</f>
        <v>11</v>
      </c>
      <c r="AM367" s="50">
        <f>SUM(AM365,AM366)</f>
        <v>0</v>
      </c>
      <c r="AN367" s="50">
        <f>SUM(AL365:AM366)</f>
        <v>11</v>
      </c>
      <c r="AO367" s="59"/>
    </row>
    <row r="368" spans="2:41" x14ac:dyDescent="0.25">
      <c r="B368" s="148"/>
      <c r="C368" s="149">
        <v>2</v>
      </c>
      <c r="D368" s="151">
        <v>0</v>
      </c>
      <c r="E368" s="151"/>
      <c r="F368" s="151"/>
      <c r="G368" s="153"/>
      <c r="H368" s="5"/>
      <c r="I368" s="148"/>
      <c r="J368" s="149">
        <v>2</v>
      </c>
      <c r="K368" s="151">
        <v>0</v>
      </c>
      <c r="L368" s="151"/>
      <c r="M368" s="151"/>
      <c r="N368" s="153"/>
      <c r="O368" s="5"/>
      <c r="P368" s="148"/>
      <c r="Q368" s="149">
        <v>2</v>
      </c>
      <c r="R368" s="151">
        <v>0</v>
      </c>
      <c r="S368" s="151"/>
      <c r="T368" s="151"/>
      <c r="U368" s="153"/>
      <c r="W368" s="42"/>
      <c r="X368" s="30">
        <v>2</v>
      </c>
      <c r="Y368" s="41">
        <v>0</v>
      </c>
      <c r="Z368" s="41">
        <v>0</v>
      </c>
      <c r="AA368" s="41"/>
      <c r="AB368" s="172"/>
      <c r="AD368" s="42"/>
      <c r="AE368" s="30">
        <v>2</v>
      </c>
      <c r="AF368" s="41">
        <v>0</v>
      </c>
      <c r="AG368" s="41">
        <v>0</v>
      </c>
      <c r="AH368" s="41"/>
      <c r="AI368" s="135"/>
      <c r="AK368" s="56" t="s">
        <v>28</v>
      </c>
      <c r="AL368" s="64">
        <f>AL367/AN367*100</f>
        <v>100</v>
      </c>
      <c r="AM368" s="59">
        <f>AM367/AN367*100</f>
        <v>0</v>
      </c>
      <c r="AN368" s="59"/>
      <c r="AO368" s="59"/>
    </row>
    <row r="369" spans="2:41" x14ac:dyDescent="0.25">
      <c r="B369" s="148"/>
      <c r="C369" s="149">
        <v>4</v>
      </c>
      <c r="D369" s="151">
        <v>0</v>
      </c>
      <c r="E369" s="151"/>
      <c r="F369" s="151"/>
      <c r="G369" s="153"/>
      <c r="H369" s="5"/>
      <c r="I369" s="148"/>
      <c r="J369" s="149">
        <v>4</v>
      </c>
      <c r="K369" s="151">
        <v>0</v>
      </c>
      <c r="L369" s="151"/>
      <c r="M369" s="151"/>
      <c r="N369" s="153"/>
      <c r="O369" s="5"/>
      <c r="P369" s="148"/>
      <c r="Q369" s="149">
        <v>4</v>
      </c>
      <c r="R369" s="151">
        <v>0</v>
      </c>
      <c r="S369" s="151"/>
      <c r="T369" s="151"/>
      <c r="U369" s="153"/>
      <c r="W369" s="42"/>
      <c r="X369" s="30">
        <v>4</v>
      </c>
      <c r="Y369" s="41">
        <v>0</v>
      </c>
      <c r="Z369" s="41">
        <v>0</v>
      </c>
      <c r="AA369" s="41"/>
      <c r="AB369" s="172"/>
      <c r="AD369" s="42"/>
      <c r="AE369" s="30">
        <v>4</v>
      </c>
      <c r="AF369" s="41">
        <v>0</v>
      </c>
      <c r="AG369" s="41">
        <v>0</v>
      </c>
      <c r="AH369" s="41"/>
      <c r="AI369" s="135"/>
    </row>
    <row r="370" spans="2:41" x14ac:dyDescent="0.25">
      <c r="B370" s="160"/>
      <c r="C370" s="161" t="s">
        <v>119</v>
      </c>
      <c r="D370" s="162">
        <v>0</v>
      </c>
      <c r="E370" s="162"/>
      <c r="F370" s="162"/>
      <c r="G370" s="165"/>
      <c r="H370" s="5"/>
      <c r="I370" s="160"/>
      <c r="J370" s="161" t="s">
        <v>119</v>
      </c>
      <c r="K370" s="162">
        <v>0</v>
      </c>
      <c r="L370" s="162"/>
      <c r="M370" s="162"/>
      <c r="N370" s="165"/>
      <c r="O370" s="5"/>
      <c r="P370" s="160"/>
      <c r="Q370" s="161" t="s">
        <v>119</v>
      </c>
      <c r="R370" s="162">
        <v>0</v>
      </c>
      <c r="S370" s="162"/>
      <c r="T370" s="162"/>
      <c r="U370" s="165"/>
      <c r="W370" s="47"/>
      <c r="X370" s="48" t="s">
        <v>119</v>
      </c>
      <c r="Y370" s="59">
        <v>0</v>
      </c>
      <c r="Z370" s="59">
        <v>0</v>
      </c>
      <c r="AA370" s="59"/>
      <c r="AB370" s="115"/>
      <c r="AD370" s="47"/>
      <c r="AE370" s="48" t="s">
        <v>119</v>
      </c>
      <c r="AF370" s="59">
        <v>0</v>
      </c>
      <c r="AG370" s="59">
        <v>0</v>
      </c>
      <c r="AH370" s="59"/>
      <c r="AI370" s="121"/>
    </row>
    <row r="371" spans="2:41" ht="15.75" thickBot="1" x14ac:dyDescent="0.3">
      <c r="B371" s="167"/>
      <c r="C371" s="168"/>
      <c r="D371" s="169"/>
      <c r="E371" s="169"/>
      <c r="F371" s="169"/>
      <c r="G371" s="171"/>
      <c r="H371" s="5"/>
      <c r="I371" s="167"/>
      <c r="J371" s="168"/>
      <c r="K371" s="169"/>
      <c r="L371" s="169"/>
      <c r="M371" s="169"/>
      <c r="N371" s="171"/>
      <c r="O371" s="5"/>
      <c r="P371" s="167"/>
      <c r="Q371" s="168"/>
      <c r="R371" s="169"/>
      <c r="S371" s="169"/>
      <c r="T371" s="169"/>
      <c r="U371" s="171"/>
      <c r="W371" s="70"/>
      <c r="X371" s="71"/>
      <c r="Y371" s="173">
        <v>7</v>
      </c>
      <c r="Z371" s="173">
        <v>0</v>
      </c>
      <c r="AA371" s="173"/>
      <c r="AB371" s="138">
        <v>7</v>
      </c>
      <c r="AD371" s="70"/>
      <c r="AE371" s="71"/>
      <c r="AF371" s="383">
        <v>4</v>
      </c>
      <c r="AG371" s="173">
        <v>0</v>
      </c>
      <c r="AH371" s="173"/>
      <c r="AI371" s="138">
        <v>4</v>
      </c>
    </row>
    <row r="372" spans="2:41" x14ac:dyDescent="0.25">
      <c r="B372" s="5"/>
      <c r="C372" s="230"/>
      <c r="D372" s="5"/>
      <c r="E372" s="5"/>
      <c r="F372" s="5"/>
      <c r="G372" s="5"/>
      <c r="H372" s="5"/>
      <c r="I372" s="5"/>
      <c r="J372" s="230"/>
      <c r="K372" s="5"/>
      <c r="L372" s="5"/>
      <c r="M372" s="5"/>
      <c r="N372" s="5"/>
      <c r="O372" s="5"/>
      <c r="P372" s="5"/>
      <c r="Q372" s="230"/>
      <c r="R372" s="5"/>
      <c r="S372" s="5"/>
      <c r="T372" s="5"/>
      <c r="U372" s="5"/>
      <c r="X372" s="78"/>
      <c r="AE372" s="78"/>
    </row>
    <row r="373" spans="2:41" ht="19.5" thickBot="1" x14ac:dyDescent="0.35">
      <c r="B373" s="139" t="s">
        <v>213</v>
      </c>
      <c r="C373" s="378"/>
      <c r="D373" s="379"/>
      <c r="E373" s="379"/>
      <c r="F373" s="379"/>
      <c r="G373" s="379"/>
      <c r="H373" s="5"/>
      <c r="I373" s="139" t="s">
        <v>213</v>
      </c>
      <c r="J373" s="378"/>
      <c r="K373" s="379"/>
      <c r="L373" s="379"/>
      <c r="M373" s="379"/>
      <c r="N373" s="379"/>
      <c r="O373" s="5"/>
      <c r="P373" s="139" t="s">
        <v>213</v>
      </c>
      <c r="Q373" s="378"/>
      <c r="R373" s="379"/>
      <c r="S373" s="379"/>
      <c r="T373" s="379"/>
      <c r="U373" s="379"/>
      <c r="W373" s="9" t="s">
        <v>214</v>
      </c>
      <c r="X373" s="204" t="s">
        <v>187</v>
      </c>
      <c r="Y373" s="380"/>
      <c r="Z373" s="12"/>
      <c r="AA373" s="380"/>
      <c r="AB373" s="380"/>
      <c r="AC373" s="380"/>
      <c r="AD373" s="9" t="s">
        <v>214</v>
      </c>
      <c r="AE373" s="381"/>
      <c r="AF373" s="12"/>
      <c r="AK373" s="9" t="s">
        <v>215</v>
      </c>
    </row>
    <row r="374" spans="2:41" ht="30" x14ac:dyDescent="0.25">
      <c r="B374" s="20" t="s">
        <v>22</v>
      </c>
      <c r="C374" s="21" t="s">
        <v>23</v>
      </c>
      <c r="D374" s="21" t="s">
        <v>24</v>
      </c>
      <c r="E374" s="21" t="s">
        <v>25</v>
      </c>
      <c r="F374" s="22" t="s">
        <v>26</v>
      </c>
      <c r="G374" s="23" t="s">
        <v>27</v>
      </c>
      <c r="H374" s="5"/>
      <c r="I374" s="20" t="s">
        <v>22</v>
      </c>
      <c r="J374" s="21" t="s">
        <v>23</v>
      </c>
      <c r="K374" s="21" t="s">
        <v>24</v>
      </c>
      <c r="L374" s="21" t="s">
        <v>25</v>
      </c>
      <c r="M374" s="22" t="s">
        <v>26</v>
      </c>
      <c r="N374" s="23" t="s">
        <v>27</v>
      </c>
      <c r="O374" s="5"/>
      <c r="P374" s="20" t="s">
        <v>22</v>
      </c>
      <c r="Q374" s="21" t="s">
        <v>23</v>
      </c>
      <c r="R374" s="21" t="s">
        <v>24</v>
      </c>
      <c r="S374" s="21" t="s">
        <v>25</v>
      </c>
      <c r="T374" s="22" t="s">
        <v>26</v>
      </c>
      <c r="U374" s="23" t="s">
        <v>27</v>
      </c>
      <c r="W374" s="20" t="s">
        <v>22</v>
      </c>
      <c r="X374" s="21" t="s">
        <v>23</v>
      </c>
      <c r="Y374" s="21" t="s">
        <v>24</v>
      </c>
      <c r="Z374" s="21" t="s">
        <v>25</v>
      </c>
      <c r="AA374" s="22" t="s">
        <v>26</v>
      </c>
      <c r="AB374" s="23" t="s">
        <v>27</v>
      </c>
      <c r="AD374" s="20" t="s">
        <v>22</v>
      </c>
      <c r="AE374" s="21" t="s">
        <v>23</v>
      </c>
      <c r="AF374" s="21" t="s">
        <v>24</v>
      </c>
      <c r="AG374" s="21" t="s">
        <v>25</v>
      </c>
      <c r="AH374" s="22" t="s">
        <v>26</v>
      </c>
      <c r="AI374" s="23" t="s">
        <v>27</v>
      </c>
      <c r="AK374" s="25"/>
      <c r="AL374" s="26" t="s">
        <v>24</v>
      </c>
      <c r="AM374" s="27" t="s">
        <v>25</v>
      </c>
      <c r="AN374" s="27" t="s">
        <v>27</v>
      </c>
      <c r="AO374" s="28" t="s">
        <v>28</v>
      </c>
    </row>
    <row r="375" spans="2:41" x14ac:dyDescent="0.25">
      <c r="B375" s="148"/>
      <c r="C375" s="149" t="s">
        <v>123</v>
      </c>
      <c r="D375" s="151">
        <v>23</v>
      </c>
      <c r="E375" s="151"/>
      <c r="F375" s="151"/>
      <c r="G375" s="153"/>
      <c r="H375" s="5"/>
      <c r="I375" s="148"/>
      <c r="J375" s="149" t="s">
        <v>123</v>
      </c>
      <c r="K375" s="151">
        <v>12</v>
      </c>
      <c r="L375" s="151"/>
      <c r="M375" s="151"/>
      <c r="N375" s="153"/>
      <c r="O375" s="5"/>
      <c r="P375" s="148"/>
      <c r="Q375" s="149" t="s">
        <v>123</v>
      </c>
      <c r="R375" s="151">
        <v>9</v>
      </c>
      <c r="S375" s="151"/>
      <c r="T375" s="151"/>
      <c r="U375" s="153"/>
      <c r="W375" s="29" t="s">
        <v>29</v>
      </c>
      <c r="X375" s="30" t="s">
        <v>123</v>
      </c>
      <c r="Y375" s="31">
        <v>7</v>
      </c>
      <c r="Z375" s="41">
        <v>0</v>
      </c>
      <c r="AA375" s="41"/>
      <c r="AB375" s="109">
        <v>7</v>
      </c>
      <c r="AD375" s="29" t="s">
        <v>29</v>
      </c>
      <c r="AE375" s="30" t="s">
        <v>123</v>
      </c>
      <c r="AF375" s="31">
        <v>4</v>
      </c>
      <c r="AG375" s="41">
        <v>0</v>
      </c>
      <c r="AH375" s="41"/>
      <c r="AI375" s="109">
        <v>4</v>
      </c>
      <c r="AK375" s="38" t="s">
        <v>29</v>
      </c>
      <c r="AL375" s="39">
        <v>11</v>
      </c>
      <c r="AM375" s="40">
        <v>0</v>
      </c>
      <c r="AN375" s="32">
        <f>SUM(AL375,AM375)</f>
        <v>11</v>
      </c>
      <c r="AO375" s="41">
        <f>AN375/AN377*100</f>
        <v>100</v>
      </c>
    </row>
    <row r="376" spans="2:41" x14ac:dyDescent="0.25">
      <c r="B376" s="148"/>
      <c r="C376" s="149">
        <v>0.5</v>
      </c>
      <c r="D376" s="151">
        <v>0</v>
      </c>
      <c r="E376" s="151"/>
      <c r="F376" s="151"/>
      <c r="G376" s="153"/>
      <c r="H376" s="5"/>
      <c r="I376" s="148"/>
      <c r="J376" s="149">
        <v>0.5</v>
      </c>
      <c r="K376" s="151">
        <v>0</v>
      </c>
      <c r="L376" s="151"/>
      <c r="M376" s="151"/>
      <c r="N376" s="153"/>
      <c r="O376" s="5"/>
      <c r="P376" s="148"/>
      <c r="Q376" s="149">
        <v>0.5</v>
      </c>
      <c r="R376" s="151">
        <v>0</v>
      </c>
      <c r="S376" s="151"/>
      <c r="T376" s="151"/>
      <c r="U376" s="153"/>
      <c r="W376" s="42"/>
      <c r="X376" s="30">
        <v>0.5</v>
      </c>
      <c r="Y376" s="41">
        <v>0</v>
      </c>
      <c r="Z376" s="41">
        <v>0</v>
      </c>
      <c r="AA376" s="41"/>
      <c r="AB376" s="172"/>
      <c r="AD376" s="42"/>
      <c r="AE376" s="30">
        <v>0.5</v>
      </c>
      <c r="AF376" s="41">
        <v>0</v>
      </c>
      <c r="AG376" s="41">
        <v>0</v>
      </c>
      <c r="AH376" s="41"/>
      <c r="AI376" s="172"/>
      <c r="AK376" s="56" t="s">
        <v>32</v>
      </c>
      <c r="AL376" s="57">
        <v>0</v>
      </c>
      <c r="AM376" s="58">
        <v>0</v>
      </c>
      <c r="AN376" s="50">
        <f>SUM(AL376,AM376)</f>
        <v>0</v>
      </c>
      <c r="AO376" s="59">
        <f>AN376/AN377*100</f>
        <v>0</v>
      </c>
    </row>
    <row r="377" spans="2:41" x14ac:dyDescent="0.25">
      <c r="B377" s="148"/>
      <c r="C377" s="149">
        <v>1</v>
      </c>
      <c r="D377" s="151">
        <v>0</v>
      </c>
      <c r="E377" s="151"/>
      <c r="F377" s="151"/>
      <c r="G377" s="153"/>
      <c r="H377" s="5"/>
      <c r="I377" s="148"/>
      <c r="J377" s="149">
        <v>1</v>
      </c>
      <c r="K377" s="151">
        <v>0</v>
      </c>
      <c r="L377" s="151"/>
      <c r="M377" s="151"/>
      <c r="N377" s="153"/>
      <c r="O377" s="5"/>
      <c r="P377" s="148"/>
      <c r="Q377" s="149">
        <v>1</v>
      </c>
      <c r="R377" s="151">
        <v>0</v>
      </c>
      <c r="S377" s="151"/>
      <c r="T377" s="151"/>
      <c r="U377" s="153"/>
      <c r="W377" s="42"/>
      <c r="X377" s="30">
        <v>1</v>
      </c>
      <c r="Y377" s="41">
        <v>0</v>
      </c>
      <c r="Z377" s="41">
        <v>0</v>
      </c>
      <c r="AA377" s="41"/>
      <c r="AB377" s="172"/>
      <c r="AD377" s="42"/>
      <c r="AE377" s="30">
        <v>1</v>
      </c>
      <c r="AF377" s="41">
        <v>0</v>
      </c>
      <c r="AG377" s="41">
        <v>0</v>
      </c>
      <c r="AH377" s="41"/>
      <c r="AI377" s="172"/>
      <c r="AK377" s="56" t="s">
        <v>27</v>
      </c>
      <c r="AL377" s="64">
        <f>SUM(AL375,AL376)</f>
        <v>11</v>
      </c>
      <c r="AM377" s="50">
        <f>SUM(AM375,AM376)</f>
        <v>0</v>
      </c>
      <c r="AN377" s="50">
        <f>SUM(AL375:AM376)</f>
        <v>11</v>
      </c>
      <c r="AO377" s="59"/>
    </row>
    <row r="378" spans="2:41" x14ac:dyDescent="0.25">
      <c r="B378" s="148"/>
      <c r="C378" s="149">
        <v>2</v>
      </c>
      <c r="D378" s="151">
        <v>0</v>
      </c>
      <c r="E378" s="151"/>
      <c r="F378" s="151"/>
      <c r="G378" s="153"/>
      <c r="H378" s="5"/>
      <c r="I378" s="148"/>
      <c r="J378" s="149">
        <v>2</v>
      </c>
      <c r="K378" s="151">
        <v>0</v>
      </c>
      <c r="L378" s="151"/>
      <c r="M378" s="151"/>
      <c r="N378" s="153"/>
      <c r="O378" s="5"/>
      <c r="P378" s="148"/>
      <c r="Q378" s="149">
        <v>2</v>
      </c>
      <c r="R378" s="151">
        <v>0</v>
      </c>
      <c r="S378" s="151"/>
      <c r="T378" s="151"/>
      <c r="U378" s="153"/>
      <c r="W378" s="47"/>
      <c r="X378" s="48">
        <v>2</v>
      </c>
      <c r="Y378" s="59">
        <v>0</v>
      </c>
      <c r="Z378" s="59">
        <v>0</v>
      </c>
      <c r="AA378" s="59"/>
      <c r="AB378" s="115"/>
      <c r="AD378" s="47"/>
      <c r="AE378" s="48">
        <v>2</v>
      </c>
      <c r="AF378" s="59">
        <v>0</v>
      </c>
      <c r="AG378" s="59">
        <v>0</v>
      </c>
      <c r="AH378" s="59"/>
      <c r="AI378" s="115"/>
      <c r="AK378" s="56" t="s">
        <v>28</v>
      </c>
      <c r="AL378" s="64">
        <f>AL377/AN377*100</f>
        <v>100</v>
      </c>
      <c r="AM378" s="59">
        <f>AM377/AN377*100</f>
        <v>0</v>
      </c>
      <c r="AN378" s="59"/>
      <c r="AO378" s="59"/>
    </row>
    <row r="379" spans="2:41" x14ac:dyDescent="0.25">
      <c r="B379" s="160"/>
      <c r="C379" s="161" t="s">
        <v>124</v>
      </c>
      <c r="D379" s="162">
        <v>0</v>
      </c>
      <c r="E379" s="162"/>
      <c r="F379" s="162"/>
      <c r="G379" s="165"/>
      <c r="H379" s="5"/>
      <c r="I379" s="160"/>
      <c r="J379" s="161" t="s">
        <v>124</v>
      </c>
      <c r="K379" s="162">
        <v>0</v>
      </c>
      <c r="L379" s="162"/>
      <c r="M379" s="162"/>
      <c r="N379" s="165"/>
      <c r="O379" s="5"/>
      <c r="P379" s="160"/>
      <c r="Q379" s="161" t="s">
        <v>124</v>
      </c>
      <c r="R379" s="162">
        <v>0</v>
      </c>
      <c r="S379" s="162"/>
      <c r="T379" s="162"/>
      <c r="U379" s="165"/>
      <c r="W379" s="60" t="s">
        <v>32</v>
      </c>
      <c r="X379" s="48" t="s">
        <v>124</v>
      </c>
      <c r="Y379" s="59">
        <v>0</v>
      </c>
      <c r="Z379" s="59">
        <v>0</v>
      </c>
      <c r="AA379" s="59"/>
      <c r="AB379" s="118">
        <v>0</v>
      </c>
      <c r="AD379" s="60" t="s">
        <v>32</v>
      </c>
      <c r="AE379" s="48" t="s">
        <v>124</v>
      </c>
      <c r="AF379" s="59">
        <v>0</v>
      </c>
      <c r="AG379" s="59">
        <v>0</v>
      </c>
      <c r="AH379" s="59"/>
      <c r="AI379" s="118">
        <v>0</v>
      </c>
    </row>
    <row r="380" spans="2:41" ht="15.75" thickBot="1" x14ac:dyDescent="0.3">
      <c r="B380" s="167"/>
      <c r="C380" s="168"/>
      <c r="D380" s="169"/>
      <c r="E380" s="169"/>
      <c r="F380" s="169"/>
      <c r="G380" s="171"/>
      <c r="H380" s="5"/>
      <c r="I380" s="167"/>
      <c r="J380" s="168"/>
      <c r="K380" s="169"/>
      <c r="L380" s="169"/>
      <c r="M380" s="169"/>
      <c r="N380" s="171"/>
      <c r="O380" s="5"/>
      <c r="P380" s="167"/>
      <c r="Q380" s="168"/>
      <c r="R380" s="169"/>
      <c r="S380" s="169"/>
      <c r="T380" s="169"/>
      <c r="U380" s="171"/>
      <c r="W380" s="70"/>
      <c r="X380" s="71"/>
      <c r="Y380" s="173">
        <v>7</v>
      </c>
      <c r="Z380" s="173">
        <v>0</v>
      </c>
      <c r="AA380" s="173"/>
      <c r="AB380" s="138">
        <v>7</v>
      </c>
      <c r="AD380" s="70"/>
      <c r="AE380" s="71"/>
      <c r="AF380" s="173">
        <v>4</v>
      </c>
      <c r="AG380" s="173">
        <v>0</v>
      </c>
      <c r="AH380" s="173"/>
      <c r="AI380" s="138">
        <v>4</v>
      </c>
    </row>
    <row r="381" spans="2:41" x14ac:dyDescent="0.25">
      <c r="C381" s="78"/>
      <c r="J381" s="78"/>
      <c r="Q381" s="78"/>
      <c r="AE381" s="78"/>
    </row>
    <row r="382" spans="2:41" x14ac:dyDescent="0.25">
      <c r="J382" s="78"/>
      <c r="Q382" s="78"/>
      <c r="AE382" s="78"/>
    </row>
    <row r="383" spans="2:41" ht="18.75" x14ac:dyDescent="0.3">
      <c r="B383" s="9" t="s">
        <v>216</v>
      </c>
      <c r="I383" s="9" t="s">
        <v>217</v>
      </c>
      <c r="P383" s="9" t="s">
        <v>218</v>
      </c>
      <c r="W383" s="9" t="s">
        <v>219</v>
      </c>
      <c r="AD383" s="9" t="s">
        <v>220</v>
      </c>
      <c r="AK383" s="9" t="s">
        <v>221</v>
      </c>
    </row>
    <row r="384" spans="2:41" x14ac:dyDescent="0.25">
      <c r="B384" s="25"/>
      <c r="C384" s="26" t="s">
        <v>24</v>
      </c>
      <c r="D384" s="27" t="s">
        <v>25</v>
      </c>
      <c r="E384" s="27" t="s">
        <v>27</v>
      </c>
      <c r="F384" s="28" t="s">
        <v>28</v>
      </c>
      <c r="I384" s="25"/>
      <c r="J384" s="26" t="s">
        <v>24</v>
      </c>
      <c r="K384" s="27" t="s">
        <v>25</v>
      </c>
      <c r="L384" s="27" t="s">
        <v>27</v>
      </c>
      <c r="M384" s="28" t="s">
        <v>28</v>
      </c>
      <c r="P384" s="25"/>
      <c r="Q384" s="26" t="s">
        <v>24</v>
      </c>
      <c r="R384" s="27" t="s">
        <v>25</v>
      </c>
      <c r="S384" s="27" t="s">
        <v>27</v>
      </c>
      <c r="T384" s="28" t="s">
        <v>28</v>
      </c>
      <c r="W384" s="25"/>
      <c r="X384" s="26" t="s">
        <v>24</v>
      </c>
      <c r="Y384" s="27" t="s">
        <v>25</v>
      </c>
      <c r="Z384" s="27" t="s">
        <v>27</v>
      </c>
      <c r="AA384" s="28" t="s">
        <v>28</v>
      </c>
      <c r="AD384" s="25"/>
      <c r="AE384" s="26" t="s">
        <v>24</v>
      </c>
      <c r="AF384" s="27" t="s">
        <v>25</v>
      </c>
      <c r="AG384" s="27" t="s">
        <v>27</v>
      </c>
      <c r="AH384" s="28" t="s">
        <v>28</v>
      </c>
      <c r="AK384" s="25"/>
      <c r="AL384" s="26" t="s">
        <v>24</v>
      </c>
      <c r="AM384" s="27" t="s">
        <v>25</v>
      </c>
      <c r="AN384" s="27" t="s">
        <v>27</v>
      </c>
      <c r="AO384" s="28" t="s">
        <v>28</v>
      </c>
    </row>
    <row r="385" spans="2:41" x14ac:dyDescent="0.25">
      <c r="B385" s="38" t="s">
        <v>109</v>
      </c>
      <c r="C385" s="39">
        <v>160</v>
      </c>
      <c r="D385" s="40">
        <v>36</v>
      </c>
      <c r="E385" s="32">
        <f>SUM(C385,D385)</f>
        <v>196</v>
      </c>
      <c r="F385" s="41">
        <f>E385/E387*100</f>
        <v>85.217391304347828</v>
      </c>
      <c r="I385" s="38" t="s">
        <v>109</v>
      </c>
      <c r="J385" s="39">
        <v>114</v>
      </c>
      <c r="K385" s="40">
        <v>0</v>
      </c>
      <c r="L385" s="32">
        <f>SUM(J385,K385)</f>
        <v>114</v>
      </c>
      <c r="M385" s="41">
        <f>L385/L387*100</f>
        <v>95</v>
      </c>
      <c r="P385" s="38" t="s">
        <v>109</v>
      </c>
      <c r="Q385" s="39">
        <v>85</v>
      </c>
      <c r="R385" s="40">
        <v>2</v>
      </c>
      <c r="S385" s="32">
        <f>SUM(Q385,R385)</f>
        <v>87</v>
      </c>
      <c r="T385" s="41">
        <f>S385/S387*100</f>
        <v>96.666666666666671</v>
      </c>
      <c r="W385" s="38" t="s">
        <v>109</v>
      </c>
      <c r="X385" s="39">
        <v>93</v>
      </c>
      <c r="Y385" s="40">
        <v>0</v>
      </c>
      <c r="Z385" s="32">
        <f>SUM(X385,Y385)</f>
        <v>93</v>
      </c>
      <c r="AA385" s="41">
        <f>Z385/Z387*100</f>
        <v>94.897959183673478</v>
      </c>
      <c r="AD385" s="38" t="s">
        <v>109</v>
      </c>
      <c r="AE385" s="39">
        <v>32</v>
      </c>
      <c r="AF385" s="40">
        <v>0</v>
      </c>
      <c r="AG385" s="32">
        <f>SUM(AE385,AF385)</f>
        <v>32</v>
      </c>
      <c r="AH385" s="41">
        <f>AG385/AG387*100</f>
        <v>100</v>
      </c>
      <c r="AK385" s="38" t="s">
        <v>109</v>
      </c>
      <c r="AL385" s="39">
        <v>484</v>
      </c>
      <c r="AM385" s="40">
        <v>38</v>
      </c>
      <c r="AN385" s="32">
        <f>SUM(AL385,AM385)</f>
        <v>522</v>
      </c>
      <c r="AO385" s="41">
        <f>AN385/AN387*100</f>
        <v>91.578947368421055</v>
      </c>
    </row>
    <row r="386" spans="2:41" x14ac:dyDescent="0.25">
      <c r="B386" s="56" t="s">
        <v>110</v>
      </c>
      <c r="C386" s="57">
        <v>0</v>
      </c>
      <c r="D386" s="58">
        <v>34</v>
      </c>
      <c r="E386" s="50">
        <f>SUM(C386,D386)</f>
        <v>34</v>
      </c>
      <c r="F386" s="59">
        <f>E386/E387*100</f>
        <v>14.782608695652174</v>
      </c>
      <c r="I386" s="56" t="s">
        <v>110</v>
      </c>
      <c r="J386" s="57">
        <v>2</v>
      </c>
      <c r="K386" s="58">
        <v>4</v>
      </c>
      <c r="L386" s="50">
        <f>SUM(J386,K386)</f>
        <v>6</v>
      </c>
      <c r="M386" s="59">
        <f>L386/L387*100</f>
        <v>5</v>
      </c>
      <c r="P386" s="56" t="s">
        <v>110</v>
      </c>
      <c r="Q386" s="57">
        <v>2</v>
      </c>
      <c r="R386" s="58">
        <v>1</v>
      </c>
      <c r="S386" s="50">
        <f>SUM(Q386,R386)</f>
        <v>3</v>
      </c>
      <c r="T386" s="59">
        <f>S386/S387*100</f>
        <v>3.3333333333333335</v>
      </c>
      <c r="W386" s="56" t="s">
        <v>110</v>
      </c>
      <c r="X386" s="57">
        <v>5</v>
      </c>
      <c r="Y386" s="58">
        <v>0</v>
      </c>
      <c r="Z386" s="50">
        <f>SUM(X386,Y386)</f>
        <v>5</v>
      </c>
      <c r="AA386" s="59">
        <f>Z386/Z387*100</f>
        <v>5.1020408163265305</v>
      </c>
      <c r="AD386" s="56" t="s">
        <v>110</v>
      </c>
      <c r="AE386" s="57">
        <v>0</v>
      </c>
      <c r="AF386" s="58">
        <v>0</v>
      </c>
      <c r="AG386" s="50">
        <f>SUM(AE386,AF386)</f>
        <v>0</v>
      </c>
      <c r="AH386" s="59">
        <f>AG386/AG387*100</f>
        <v>0</v>
      </c>
      <c r="AK386" s="56" t="s">
        <v>110</v>
      </c>
      <c r="AL386" s="57">
        <v>9</v>
      </c>
      <c r="AM386" s="58">
        <v>39</v>
      </c>
      <c r="AN386" s="50">
        <f>SUM(AL386,AM386)</f>
        <v>48</v>
      </c>
      <c r="AO386" s="59">
        <f>AN386/AN387*100</f>
        <v>8.4210526315789469</v>
      </c>
    </row>
    <row r="387" spans="2:41" x14ac:dyDescent="0.25">
      <c r="B387" s="56" t="s">
        <v>27</v>
      </c>
      <c r="C387" s="64">
        <f>SUM(C385,C386)</f>
        <v>160</v>
      </c>
      <c r="D387" s="50">
        <f>SUM(D385,D386)</f>
        <v>70</v>
      </c>
      <c r="E387" s="50">
        <f>SUM(C385:D386)</f>
        <v>230</v>
      </c>
      <c r="F387" s="59"/>
      <c r="I387" s="56" t="s">
        <v>27</v>
      </c>
      <c r="J387" s="64">
        <f>SUM(J385,J386)</f>
        <v>116</v>
      </c>
      <c r="K387" s="50">
        <f>SUM(K385,K386)</f>
        <v>4</v>
      </c>
      <c r="L387" s="50">
        <f>SUM(J385:K386)</f>
        <v>120</v>
      </c>
      <c r="M387" s="59"/>
      <c r="P387" s="56" t="s">
        <v>27</v>
      </c>
      <c r="Q387" s="64">
        <f>SUM(Q385,Q386)</f>
        <v>87</v>
      </c>
      <c r="R387" s="50">
        <f>SUM(R385,R386)</f>
        <v>3</v>
      </c>
      <c r="S387" s="50">
        <f>SUM(Q385:R386)</f>
        <v>90</v>
      </c>
      <c r="T387" s="59"/>
      <c r="W387" s="56" t="s">
        <v>27</v>
      </c>
      <c r="X387" s="64">
        <f>SUM(X385,X386)</f>
        <v>98</v>
      </c>
      <c r="Y387" s="50">
        <f>SUM(Y385,Y386)</f>
        <v>0</v>
      </c>
      <c r="Z387" s="50">
        <f>SUM(X385:Y386)</f>
        <v>98</v>
      </c>
      <c r="AA387" s="59"/>
      <c r="AD387" s="56" t="s">
        <v>27</v>
      </c>
      <c r="AE387" s="64">
        <f>SUM(AE385,AE386)</f>
        <v>32</v>
      </c>
      <c r="AF387" s="50">
        <f>SUM(AF385,AF386)</f>
        <v>0</v>
      </c>
      <c r="AG387" s="50">
        <f>SUM(AE385:AF386)</f>
        <v>32</v>
      </c>
      <c r="AH387" s="59"/>
      <c r="AK387" s="56" t="s">
        <v>27</v>
      </c>
      <c r="AL387" s="64">
        <f>SUM(AL385,AL386)</f>
        <v>493</v>
      </c>
      <c r="AM387" s="50">
        <f>SUM(AM385,AM386)</f>
        <v>77</v>
      </c>
      <c r="AN387" s="50">
        <f>SUM(AL385:AM386)</f>
        <v>570</v>
      </c>
      <c r="AO387" s="59"/>
    </row>
    <row r="388" spans="2:41" x14ac:dyDescent="0.25">
      <c r="B388" s="56" t="s">
        <v>28</v>
      </c>
      <c r="C388" s="64">
        <f>C387/E387*100</f>
        <v>69.565217391304344</v>
      </c>
      <c r="D388" s="59">
        <f>D387/E387*100</f>
        <v>30.434782608695656</v>
      </c>
      <c r="E388" s="59"/>
      <c r="F388" s="59"/>
      <c r="I388" s="56" t="s">
        <v>28</v>
      </c>
      <c r="J388" s="64">
        <f>J387/L387*100</f>
        <v>96.666666666666671</v>
      </c>
      <c r="K388" s="59">
        <f>K387/L387*100</f>
        <v>3.3333333333333335</v>
      </c>
      <c r="L388" s="59"/>
      <c r="M388" s="59"/>
      <c r="P388" s="56" t="s">
        <v>28</v>
      </c>
      <c r="Q388" s="64">
        <f>Q387/S387*100</f>
        <v>96.666666666666671</v>
      </c>
      <c r="R388" s="59">
        <f>R387/S387*100</f>
        <v>3.3333333333333335</v>
      </c>
      <c r="S388" s="59"/>
      <c r="T388" s="59"/>
      <c r="W388" s="56" t="s">
        <v>28</v>
      </c>
      <c r="X388" s="64">
        <f>X387/Z387*100</f>
        <v>100</v>
      </c>
      <c r="Y388" s="59">
        <f>Y387/Z387*100</f>
        <v>0</v>
      </c>
      <c r="Z388" s="59"/>
      <c r="AA388" s="59"/>
      <c r="AD388" s="56" t="s">
        <v>28</v>
      </c>
      <c r="AE388" s="64">
        <f>AE387/AG387*100</f>
        <v>100</v>
      </c>
      <c r="AF388" s="59">
        <f>AF387/AG387*100</f>
        <v>0</v>
      </c>
      <c r="AG388" s="59"/>
      <c r="AH388" s="59"/>
      <c r="AK388" s="56" t="s">
        <v>28</v>
      </c>
      <c r="AL388" s="64">
        <f>AL387/AN387*100</f>
        <v>86.491228070175438</v>
      </c>
      <c r="AM388" s="59">
        <f>AM387/AN387*100</f>
        <v>13.508771929824562</v>
      </c>
      <c r="AN388" s="59"/>
      <c r="AO388" s="59"/>
    </row>
    <row r="390" spans="2:41" ht="18.75" x14ac:dyDescent="0.3">
      <c r="B390" s="9" t="s">
        <v>111</v>
      </c>
      <c r="D390" s="6"/>
      <c r="E390" s="6"/>
      <c r="F390" s="6"/>
      <c r="G390" s="6"/>
      <c r="H390" s="6"/>
      <c r="J390" s="6"/>
    </row>
    <row r="391" spans="2:41" x14ac:dyDescent="0.25">
      <c r="B391" s="180" t="s">
        <v>112</v>
      </c>
    </row>
    <row r="393" spans="2:41" x14ac:dyDescent="0.25">
      <c r="B393" s="181" t="s">
        <v>113</v>
      </c>
      <c r="C393" s="1"/>
    </row>
    <row r="394" spans="2:41" x14ac:dyDescent="0.25">
      <c r="B394" s="184"/>
      <c r="C394" s="182"/>
      <c r="D394" s="183" t="s">
        <v>144</v>
      </c>
      <c r="E394" s="183" t="s">
        <v>145</v>
      </c>
      <c r="F394" s="183" t="s">
        <v>146</v>
      </c>
      <c r="G394" s="146" t="s">
        <v>147</v>
      </c>
      <c r="H394" s="146" t="s">
        <v>148</v>
      </c>
      <c r="J394" s="231"/>
    </row>
    <row r="395" spans="2:41" x14ac:dyDescent="0.25">
      <c r="B395" s="38"/>
      <c r="C395" s="185"/>
      <c r="D395" s="99" t="s">
        <v>116</v>
      </c>
      <c r="E395" s="99" t="s">
        <v>116</v>
      </c>
      <c r="F395" s="99" t="s">
        <v>116</v>
      </c>
      <c r="G395" s="152" t="s">
        <v>222</v>
      </c>
      <c r="H395" s="152" t="s">
        <v>222</v>
      </c>
    </row>
    <row r="396" spans="2:41" x14ac:dyDescent="0.25">
      <c r="B396" s="56" t="s">
        <v>22</v>
      </c>
      <c r="C396" s="187" t="s">
        <v>23</v>
      </c>
      <c r="D396" s="188" t="s">
        <v>117</v>
      </c>
      <c r="E396" s="188" t="s">
        <v>117</v>
      </c>
      <c r="F396" s="188" t="s">
        <v>117</v>
      </c>
      <c r="G396" s="210" t="s">
        <v>117</v>
      </c>
      <c r="H396" s="210" t="s">
        <v>117</v>
      </c>
    </row>
    <row r="397" spans="2:41" x14ac:dyDescent="0.25">
      <c r="B397" s="189" t="s">
        <v>29</v>
      </c>
      <c r="C397" s="185" t="s">
        <v>223</v>
      </c>
      <c r="D397" s="99">
        <v>0</v>
      </c>
      <c r="E397" s="99">
        <v>6</v>
      </c>
      <c r="F397" s="99">
        <v>8</v>
      </c>
      <c r="G397" s="146">
        <v>1</v>
      </c>
      <c r="H397" s="151">
        <v>0</v>
      </c>
    </row>
    <row r="398" spans="2:41" x14ac:dyDescent="0.25">
      <c r="B398" s="191"/>
      <c r="C398" s="185">
        <v>0.12</v>
      </c>
      <c r="D398" s="99">
        <v>0</v>
      </c>
      <c r="E398" s="99">
        <v>6</v>
      </c>
      <c r="F398" s="99">
        <v>1</v>
      </c>
      <c r="G398" s="152">
        <v>5</v>
      </c>
      <c r="H398" s="151">
        <v>0</v>
      </c>
    </row>
    <row r="399" spans="2:41" x14ac:dyDescent="0.25">
      <c r="B399" s="191"/>
      <c r="C399" s="185">
        <v>0.25</v>
      </c>
      <c r="D399" s="99">
        <v>16</v>
      </c>
      <c r="E399" s="99">
        <v>0</v>
      </c>
      <c r="F399" s="99">
        <v>0</v>
      </c>
      <c r="G399" s="152">
        <v>0</v>
      </c>
      <c r="H399" s="151">
        <v>0</v>
      </c>
    </row>
    <row r="400" spans="2:41" x14ac:dyDescent="0.25">
      <c r="B400" s="191"/>
      <c r="C400" s="185">
        <v>0.5</v>
      </c>
      <c r="D400" s="99">
        <v>7</v>
      </c>
      <c r="E400" s="99">
        <v>0</v>
      </c>
      <c r="F400" s="99">
        <v>0</v>
      </c>
      <c r="G400" s="152">
        <v>1</v>
      </c>
      <c r="H400" s="151">
        <v>2</v>
      </c>
    </row>
    <row r="401" spans="2:10" x14ac:dyDescent="0.25">
      <c r="B401" s="190"/>
      <c r="C401" s="186">
        <v>1</v>
      </c>
      <c r="D401" s="188">
        <v>0</v>
      </c>
      <c r="E401" s="188">
        <v>0</v>
      </c>
      <c r="F401" s="188">
        <v>0</v>
      </c>
      <c r="G401" s="152">
        <v>0</v>
      </c>
      <c r="H401" s="151">
        <v>2</v>
      </c>
    </row>
    <row r="402" spans="2:10" x14ac:dyDescent="0.25">
      <c r="B402" s="189" t="s">
        <v>32</v>
      </c>
      <c r="C402" s="185">
        <v>2</v>
      </c>
      <c r="D402" s="99">
        <v>0</v>
      </c>
      <c r="E402" s="99">
        <v>0</v>
      </c>
      <c r="F402" s="99">
        <v>0</v>
      </c>
      <c r="G402" s="152">
        <v>0</v>
      </c>
      <c r="H402" s="151">
        <v>0</v>
      </c>
    </row>
    <row r="403" spans="2:10" x14ac:dyDescent="0.25">
      <c r="B403" s="190"/>
      <c r="C403" s="187" t="s">
        <v>124</v>
      </c>
      <c r="D403" s="188">
        <v>0</v>
      </c>
      <c r="E403" s="188">
        <v>0</v>
      </c>
      <c r="F403" s="188">
        <v>0</v>
      </c>
      <c r="G403" s="210">
        <v>0</v>
      </c>
      <c r="H403" s="162">
        <v>0</v>
      </c>
    </row>
    <row r="404" spans="2:10" x14ac:dyDescent="0.25">
      <c r="B404" s="78"/>
    </row>
    <row r="405" spans="2:10" x14ac:dyDescent="0.25">
      <c r="B405" s="181" t="s">
        <v>120</v>
      </c>
      <c r="C405" s="1" t="s">
        <v>129</v>
      </c>
    </row>
    <row r="406" spans="2:10" x14ac:dyDescent="0.25">
      <c r="B406" s="184"/>
      <c r="C406" s="182"/>
      <c r="D406" s="183" t="s">
        <v>144</v>
      </c>
      <c r="E406" s="183" t="s">
        <v>145</v>
      </c>
      <c r="F406" s="183" t="s">
        <v>146</v>
      </c>
      <c r="G406" s="183" t="s">
        <v>147</v>
      </c>
      <c r="H406" s="146" t="s">
        <v>148</v>
      </c>
      <c r="J406" s="231"/>
    </row>
    <row r="407" spans="2:10" x14ac:dyDescent="0.25">
      <c r="B407" s="38"/>
      <c r="C407" s="185"/>
      <c r="D407" s="99" t="s">
        <v>129</v>
      </c>
      <c r="E407" s="99" t="s">
        <v>129</v>
      </c>
      <c r="F407" s="99" t="s">
        <v>129</v>
      </c>
      <c r="G407" s="99" t="s">
        <v>129</v>
      </c>
      <c r="H407" s="152" t="s">
        <v>222</v>
      </c>
    </row>
    <row r="408" spans="2:10" x14ac:dyDescent="0.25">
      <c r="B408" s="56" t="s">
        <v>22</v>
      </c>
      <c r="C408" s="187" t="s">
        <v>23</v>
      </c>
      <c r="D408" s="188" t="s">
        <v>117</v>
      </c>
      <c r="E408" s="188" t="s">
        <v>117</v>
      </c>
      <c r="F408" s="188" t="s">
        <v>117</v>
      </c>
      <c r="G408" s="188" t="s">
        <v>117</v>
      </c>
      <c r="H408" s="210" t="s">
        <v>117</v>
      </c>
    </row>
    <row r="409" spans="2:10" x14ac:dyDescent="0.25">
      <c r="B409" s="189" t="s">
        <v>31</v>
      </c>
      <c r="C409" s="185" t="s">
        <v>118</v>
      </c>
      <c r="D409" s="99">
        <v>2</v>
      </c>
      <c r="E409" s="99">
        <v>7</v>
      </c>
      <c r="F409" s="99">
        <v>3</v>
      </c>
      <c r="G409" s="99">
        <v>1</v>
      </c>
      <c r="H409" s="152">
        <v>2</v>
      </c>
    </row>
    <row r="410" spans="2:10" x14ac:dyDescent="0.25">
      <c r="B410" s="191"/>
      <c r="C410" s="185">
        <v>1</v>
      </c>
      <c r="D410" s="99">
        <v>20</v>
      </c>
      <c r="E410" s="99">
        <v>5</v>
      </c>
      <c r="F410" s="99">
        <v>6</v>
      </c>
      <c r="G410" s="99">
        <v>5</v>
      </c>
      <c r="H410" s="152">
        <v>1</v>
      </c>
    </row>
    <row r="411" spans="2:10" x14ac:dyDescent="0.25">
      <c r="B411" s="190"/>
      <c r="C411" s="186">
        <v>2</v>
      </c>
      <c r="D411" s="188">
        <v>0</v>
      </c>
      <c r="E411" s="188">
        <v>0</v>
      </c>
      <c r="F411" s="188">
        <v>0</v>
      </c>
      <c r="G411" s="188">
        <v>1</v>
      </c>
      <c r="H411" s="152">
        <v>1</v>
      </c>
    </row>
    <row r="412" spans="2:10" x14ac:dyDescent="0.25">
      <c r="B412" s="189" t="s">
        <v>32</v>
      </c>
      <c r="C412" s="185">
        <v>4</v>
      </c>
      <c r="D412" s="99">
        <v>0</v>
      </c>
      <c r="E412" s="99">
        <v>0</v>
      </c>
      <c r="F412" s="99">
        <v>0</v>
      </c>
      <c r="G412" s="99">
        <v>0</v>
      </c>
      <c r="H412" s="152">
        <v>0</v>
      </c>
    </row>
    <row r="413" spans="2:10" x14ac:dyDescent="0.25">
      <c r="B413" s="190"/>
      <c r="C413" s="187" t="s">
        <v>119</v>
      </c>
      <c r="D413" s="196">
        <v>1</v>
      </c>
      <c r="E413" s="188">
        <v>0</v>
      </c>
      <c r="F413" s="188">
        <v>0</v>
      </c>
      <c r="G413" s="188">
        <v>0</v>
      </c>
      <c r="H413" s="210">
        <v>0</v>
      </c>
    </row>
    <row r="414" spans="2:10" x14ac:dyDescent="0.25">
      <c r="B414" s="78"/>
    </row>
    <row r="415" spans="2:10" x14ac:dyDescent="0.25">
      <c r="B415" s="78"/>
    </row>
    <row r="416" spans="2:10" ht="18.75" x14ac:dyDescent="0.3">
      <c r="B416" s="214" t="s">
        <v>131</v>
      </c>
    </row>
    <row r="417" spans="2:14" x14ac:dyDescent="0.25">
      <c r="B417" s="78" t="s">
        <v>132</v>
      </c>
    </row>
    <row r="418" spans="2:14" x14ac:dyDescent="0.25">
      <c r="B418" s="78"/>
    </row>
    <row r="419" spans="2:14" x14ac:dyDescent="0.25">
      <c r="B419" s="215" t="s">
        <v>224</v>
      </c>
      <c r="C419" s="216" t="s">
        <v>225</v>
      </c>
      <c r="N419" s="231"/>
    </row>
    <row r="420" spans="2:14" x14ac:dyDescent="0.25">
      <c r="B420" s="218"/>
      <c r="C420" s="384" t="s">
        <v>147</v>
      </c>
      <c r="D420" s="110"/>
      <c r="E420" s="384" t="s">
        <v>148</v>
      </c>
      <c r="F420" s="110"/>
      <c r="G420" s="384" t="s">
        <v>226</v>
      </c>
      <c r="H420" s="110"/>
      <c r="I420" s="384" t="s">
        <v>227</v>
      </c>
      <c r="J420" s="110"/>
      <c r="K420" s="145" t="s">
        <v>228</v>
      </c>
      <c r="L420" s="110"/>
    </row>
    <row r="421" spans="2:14" x14ac:dyDescent="0.25">
      <c r="B421" s="220"/>
      <c r="C421" s="5" t="s">
        <v>229</v>
      </c>
      <c r="D421" s="41"/>
      <c r="E421" s="5" t="s">
        <v>230</v>
      </c>
      <c r="F421" s="41"/>
      <c r="G421" s="5" t="s">
        <v>130</v>
      </c>
      <c r="H421" s="41"/>
      <c r="I421" s="5" t="s">
        <v>130</v>
      </c>
      <c r="J421" s="41"/>
      <c r="K421" s="5" t="s">
        <v>130</v>
      </c>
      <c r="L421" s="41"/>
    </row>
    <row r="422" spans="2:14" x14ac:dyDescent="0.25">
      <c r="B422" s="221" t="s">
        <v>23</v>
      </c>
      <c r="C422" s="222" t="s">
        <v>117</v>
      </c>
      <c r="D422" s="162" t="s">
        <v>26</v>
      </c>
      <c r="E422" s="222" t="s">
        <v>117</v>
      </c>
      <c r="F422" s="162" t="s">
        <v>26</v>
      </c>
      <c r="G422" s="222" t="s">
        <v>117</v>
      </c>
      <c r="H422" s="162" t="s">
        <v>26</v>
      </c>
      <c r="I422" s="222" t="s">
        <v>117</v>
      </c>
      <c r="J422" s="162" t="s">
        <v>26</v>
      </c>
      <c r="K422" s="222" t="s">
        <v>117</v>
      </c>
      <c r="L422" s="162" t="s">
        <v>26</v>
      </c>
    </row>
    <row r="423" spans="2:14" x14ac:dyDescent="0.25">
      <c r="B423" s="220" t="s">
        <v>118</v>
      </c>
      <c r="C423" s="5">
        <v>7</v>
      </c>
      <c r="D423" s="41"/>
      <c r="E423" s="5">
        <v>4</v>
      </c>
      <c r="F423" s="41"/>
      <c r="G423" s="5">
        <v>23</v>
      </c>
      <c r="H423" s="41"/>
      <c r="I423" s="5">
        <v>12</v>
      </c>
      <c r="J423" s="41"/>
      <c r="K423" s="5">
        <v>9</v>
      </c>
      <c r="L423" s="41"/>
    </row>
    <row r="424" spans="2:14" x14ac:dyDescent="0.25">
      <c r="B424" s="220">
        <v>1</v>
      </c>
      <c r="C424" s="5">
        <v>0</v>
      </c>
      <c r="D424" s="41"/>
      <c r="E424" s="5">
        <v>0</v>
      </c>
      <c r="F424" s="41"/>
      <c r="G424" s="5">
        <v>0</v>
      </c>
      <c r="H424" s="41"/>
      <c r="I424" s="5">
        <v>0</v>
      </c>
      <c r="J424" s="41"/>
      <c r="K424" s="5">
        <v>0</v>
      </c>
      <c r="L424" s="41"/>
    </row>
    <row r="425" spans="2:14" x14ac:dyDescent="0.25">
      <c r="B425" s="220">
        <v>2</v>
      </c>
      <c r="C425" s="5">
        <v>0</v>
      </c>
      <c r="D425" s="41"/>
      <c r="E425" s="5">
        <v>0</v>
      </c>
      <c r="F425" s="41"/>
      <c r="G425" s="5">
        <v>0</v>
      </c>
      <c r="H425" s="41"/>
      <c r="I425" s="5">
        <v>0</v>
      </c>
      <c r="J425" s="41"/>
      <c r="K425" s="5">
        <v>0</v>
      </c>
      <c r="L425" s="41"/>
    </row>
    <row r="426" spans="2:14" x14ac:dyDescent="0.25">
      <c r="B426" s="220">
        <v>4</v>
      </c>
      <c r="C426" s="5">
        <v>0</v>
      </c>
      <c r="D426" s="41"/>
      <c r="E426" s="5">
        <v>0</v>
      </c>
      <c r="F426" s="41"/>
      <c r="G426" s="5">
        <v>0</v>
      </c>
      <c r="H426" s="41"/>
      <c r="I426" s="5">
        <v>0</v>
      </c>
      <c r="J426" s="41"/>
      <c r="K426" s="5">
        <v>0</v>
      </c>
      <c r="L426" s="41"/>
    </row>
    <row r="427" spans="2:14" x14ac:dyDescent="0.25">
      <c r="B427" s="221" t="s">
        <v>119</v>
      </c>
      <c r="C427" s="222">
        <v>0</v>
      </c>
      <c r="D427" s="59"/>
      <c r="E427" s="222">
        <v>0</v>
      </c>
      <c r="F427" s="59"/>
      <c r="G427" s="222">
        <v>0</v>
      </c>
      <c r="H427" s="59"/>
      <c r="I427" s="222">
        <v>0</v>
      </c>
      <c r="J427" s="59"/>
      <c r="K427" s="222">
        <v>0</v>
      </c>
      <c r="L427" s="59"/>
    </row>
    <row r="428" spans="2:14" x14ac:dyDescent="0.25">
      <c r="B428" s="78"/>
      <c r="G428" s="5"/>
      <c r="I428" s="5"/>
      <c r="K428" s="5"/>
    </row>
    <row r="429" spans="2:14" x14ac:dyDescent="0.25">
      <c r="B429" s="215" t="s">
        <v>121</v>
      </c>
      <c r="C429" s="216" t="s">
        <v>231</v>
      </c>
      <c r="E429" s="5"/>
    </row>
    <row r="430" spans="2:14" x14ac:dyDescent="0.25">
      <c r="B430" s="218"/>
      <c r="C430" s="384" t="s">
        <v>144</v>
      </c>
      <c r="D430" s="110"/>
      <c r="E430" s="384" t="s">
        <v>145</v>
      </c>
      <c r="F430" s="110"/>
      <c r="G430" s="384" t="s">
        <v>146</v>
      </c>
      <c r="H430" s="110"/>
      <c r="I430" s="384" t="s">
        <v>147</v>
      </c>
      <c r="J430" s="110"/>
      <c r="K430" s="145" t="s">
        <v>148</v>
      </c>
      <c r="L430" s="110"/>
    </row>
    <row r="431" spans="2:14" x14ac:dyDescent="0.25">
      <c r="B431" s="221" t="s">
        <v>23</v>
      </c>
      <c r="C431" s="222" t="s">
        <v>117</v>
      </c>
      <c r="D431" s="162" t="s">
        <v>26</v>
      </c>
      <c r="E431" s="222" t="s">
        <v>117</v>
      </c>
      <c r="F431" s="162" t="s">
        <v>26</v>
      </c>
      <c r="G431" s="222" t="s">
        <v>117</v>
      </c>
      <c r="H431" s="162" t="s">
        <v>26</v>
      </c>
      <c r="I431" s="222" t="s">
        <v>117</v>
      </c>
      <c r="J431" s="162" t="s">
        <v>26</v>
      </c>
      <c r="K431" s="222" t="s">
        <v>117</v>
      </c>
      <c r="L431" s="162" t="s">
        <v>26</v>
      </c>
    </row>
    <row r="432" spans="2:14" x14ac:dyDescent="0.25">
      <c r="B432" s="220" t="s">
        <v>232</v>
      </c>
      <c r="C432" s="5">
        <v>22</v>
      </c>
      <c r="D432" s="41"/>
      <c r="E432" s="5">
        <v>12</v>
      </c>
      <c r="F432" s="41"/>
      <c r="G432" s="5">
        <v>9</v>
      </c>
      <c r="H432" s="41"/>
      <c r="I432" s="5">
        <v>7</v>
      </c>
      <c r="J432" s="41"/>
      <c r="K432" s="5">
        <v>4</v>
      </c>
      <c r="L432" s="41"/>
    </row>
    <row r="433" spans="2:12" x14ac:dyDescent="0.25">
      <c r="B433" s="220">
        <v>2</v>
      </c>
      <c r="C433" s="5">
        <v>1</v>
      </c>
      <c r="D433" s="41"/>
      <c r="E433" s="5">
        <v>0</v>
      </c>
      <c r="F433" s="41"/>
      <c r="G433" s="5">
        <v>0</v>
      </c>
      <c r="H433" s="41"/>
      <c r="I433" s="5">
        <v>0</v>
      </c>
      <c r="J433" s="41"/>
      <c r="K433" s="5">
        <v>0</v>
      </c>
      <c r="L433" s="41"/>
    </row>
    <row r="434" spans="2:12" x14ac:dyDescent="0.25">
      <c r="B434" s="220">
        <v>4</v>
      </c>
      <c r="C434" s="5">
        <v>0</v>
      </c>
      <c r="D434" s="41"/>
      <c r="E434" s="5">
        <v>0</v>
      </c>
      <c r="F434" s="41"/>
      <c r="G434" s="5">
        <v>0</v>
      </c>
      <c r="H434" s="41"/>
      <c r="I434" s="5">
        <v>0</v>
      </c>
      <c r="J434" s="41"/>
      <c r="K434" s="5">
        <v>0</v>
      </c>
      <c r="L434" s="41"/>
    </row>
    <row r="435" spans="2:12" x14ac:dyDescent="0.25">
      <c r="B435" s="220">
        <v>8</v>
      </c>
      <c r="C435" s="5">
        <v>0</v>
      </c>
      <c r="D435" s="41"/>
      <c r="E435" s="5">
        <v>0</v>
      </c>
      <c r="F435" s="41"/>
      <c r="G435" s="5">
        <v>0</v>
      </c>
      <c r="H435" s="41"/>
      <c r="I435" s="5">
        <v>0</v>
      </c>
      <c r="J435" s="41"/>
      <c r="K435" s="5">
        <v>0</v>
      </c>
      <c r="L435" s="41"/>
    </row>
    <row r="436" spans="2:12" x14ac:dyDescent="0.25">
      <c r="B436" s="221" t="s">
        <v>61</v>
      </c>
      <c r="C436" s="222">
        <v>0</v>
      </c>
      <c r="D436" s="59"/>
      <c r="E436" s="222">
        <v>0</v>
      </c>
      <c r="F436" s="59"/>
      <c r="G436" s="222">
        <v>0</v>
      </c>
      <c r="H436" s="59"/>
      <c r="I436" s="222">
        <v>0</v>
      </c>
      <c r="J436" s="59"/>
      <c r="K436" s="222">
        <v>0</v>
      </c>
      <c r="L436" s="59"/>
    </row>
    <row r="437" spans="2:12" x14ac:dyDescent="0.25">
      <c r="B437" s="230"/>
      <c r="C437" s="5"/>
      <c r="D437" s="5"/>
      <c r="E437" s="5"/>
      <c r="F437" s="5"/>
      <c r="G437" s="5"/>
      <c r="H437" s="5"/>
      <c r="I437" s="5"/>
      <c r="J437" s="5"/>
      <c r="K437" s="5"/>
      <c r="L437" s="5"/>
    </row>
    <row r="438" spans="2:12" x14ac:dyDescent="0.25">
      <c r="B438" s="215" t="s">
        <v>233</v>
      </c>
      <c r="C438" s="385" t="s">
        <v>234</v>
      </c>
      <c r="D438" s="5"/>
      <c r="E438" s="5"/>
      <c r="F438" s="5"/>
      <c r="G438" s="5"/>
      <c r="H438" s="5"/>
      <c r="I438" s="5"/>
      <c r="J438" s="5"/>
      <c r="K438" s="5"/>
      <c r="L438" s="5"/>
    </row>
    <row r="439" spans="2:12" x14ac:dyDescent="0.25">
      <c r="B439" s="218"/>
      <c r="C439" s="235" t="s">
        <v>144</v>
      </c>
      <c r="D439" s="236"/>
      <c r="E439" s="235" t="s">
        <v>145</v>
      </c>
      <c r="F439" s="236"/>
      <c r="G439" s="235" t="s">
        <v>146</v>
      </c>
      <c r="H439" s="236"/>
      <c r="I439" s="235" t="s">
        <v>147</v>
      </c>
      <c r="J439" s="236"/>
      <c r="K439" s="235" t="s">
        <v>148</v>
      </c>
      <c r="L439" s="236"/>
    </row>
    <row r="440" spans="2:12" x14ac:dyDescent="0.25">
      <c r="B440" s="221" t="s">
        <v>23</v>
      </c>
      <c r="C440" s="213" t="s">
        <v>117</v>
      </c>
      <c r="D440" s="162" t="s">
        <v>26</v>
      </c>
      <c r="E440" s="213" t="s">
        <v>117</v>
      </c>
      <c r="F440" s="162" t="s">
        <v>26</v>
      </c>
      <c r="G440" s="213" t="s">
        <v>117</v>
      </c>
      <c r="H440" s="162" t="s">
        <v>26</v>
      </c>
      <c r="I440" s="213" t="s">
        <v>117</v>
      </c>
      <c r="J440" s="162" t="s">
        <v>26</v>
      </c>
      <c r="K440" s="213" t="s">
        <v>117</v>
      </c>
      <c r="L440" s="162" t="s">
        <v>26</v>
      </c>
    </row>
    <row r="441" spans="2:12" x14ac:dyDescent="0.25">
      <c r="B441" s="220" t="s">
        <v>235</v>
      </c>
      <c r="C441" s="212">
        <v>23</v>
      </c>
      <c r="D441" s="151"/>
      <c r="E441" s="212">
        <v>12</v>
      </c>
      <c r="F441" s="151"/>
      <c r="G441" s="212">
        <v>9</v>
      </c>
      <c r="H441" s="151"/>
      <c r="I441" s="212">
        <v>7</v>
      </c>
      <c r="J441" s="151"/>
      <c r="K441" s="212">
        <v>4</v>
      </c>
      <c r="L441" s="151"/>
    </row>
    <row r="442" spans="2:12" x14ac:dyDescent="0.25">
      <c r="B442" s="220">
        <v>4</v>
      </c>
      <c r="C442" s="212">
        <v>0</v>
      </c>
      <c r="D442" s="151"/>
      <c r="E442" s="212">
        <v>0</v>
      </c>
      <c r="F442" s="151"/>
      <c r="G442" s="212">
        <v>0</v>
      </c>
      <c r="H442" s="151"/>
      <c r="I442" s="212">
        <v>0</v>
      </c>
      <c r="J442" s="151"/>
      <c r="K442" s="212">
        <v>0</v>
      </c>
      <c r="L442" s="151"/>
    </row>
    <row r="443" spans="2:12" x14ac:dyDescent="0.25">
      <c r="B443" s="220">
        <v>6</v>
      </c>
      <c r="C443" s="212">
        <v>0</v>
      </c>
      <c r="D443" s="151"/>
      <c r="E443" s="212">
        <v>0</v>
      </c>
      <c r="F443" s="151"/>
      <c r="G443" s="212">
        <v>0</v>
      </c>
      <c r="H443" s="151"/>
      <c r="I443" s="212">
        <v>0</v>
      </c>
      <c r="J443" s="151"/>
      <c r="K443" s="212">
        <v>0</v>
      </c>
      <c r="L443" s="151"/>
    </row>
    <row r="444" spans="2:12" x14ac:dyDescent="0.25">
      <c r="B444" s="220">
        <v>8</v>
      </c>
      <c r="C444" s="212">
        <v>0</v>
      </c>
      <c r="D444" s="151"/>
      <c r="E444" s="212">
        <v>0</v>
      </c>
      <c r="F444" s="151"/>
      <c r="G444" s="212">
        <v>0</v>
      </c>
      <c r="H444" s="151"/>
      <c r="I444" s="212">
        <v>0</v>
      </c>
      <c r="J444" s="151"/>
      <c r="K444" s="212">
        <v>0</v>
      </c>
      <c r="L444" s="151"/>
    </row>
    <row r="445" spans="2:12" x14ac:dyDescent="0.25">
      <c r="B445" s="220">
        <v>16</v>
      </c>
      <c r="C445" s="212">
        <v>0</v>
      </c>
      <c r="D445" s="151"/>
      <c r="E445" s="212">
        <v>0</v>
      </c>
      <c r="F445" s="151"/>
      <c r="G445" s="212">
        <v>0</v>
      </c>
      <c r="H445" s="151"/>
      <c r="I445" s="212">
        <v>0</v>
      </c>
      <c r="J445" s="151"/>
      <c r="K445" s="212">
        <v>0</v>
      </c>
      <c r="L445" s="151"/>
    </row>
    <row r="446" spans="2:12" x14ac:dyDescent="0.25">
      <c r="B446" s="221" t="s">
        <v>139</v>
      </c>
      <c r="C446" s="213">
        <v>0</v>
      </c>
      <c r="D446" s="162"/>
      <c r="E446" s="213">
        <v>0</v>
      </c>
      <c r="F446" s="162"/>
      <c r="G446" s="213">
        <v>0</v>
      </c>
      <c r="H446" s="162"/>
      <c r="I446" s="213">
        <v>0</v>
      </c>
      <c r="J446" s="162"/>
      <c r="K446" s="213">
        <v>0</v>
      </c>
      <c r="L446" s="162"/>
    </row>
    <row r="447" spans="2:12" x14ac:dyDescent="0.25">
      <c r="B447" s="230"/>
      <c r="C447" s="5"/>
      <c r="D447" s="5"/>
      <c r="E447" s="5"/>
      <c r="F447" s="5"/>
      <c r="G447" s="5"/>
      <c r="H447" s="5"/>
      <c r="I447" s="5"/>
      <c r="J447" s="5"/>
      <c r="K447" s="5"/>
      <c r="L447" s="5"/>
    </row>
    <row r="448" spans="2:12" x14ac:dyDescent="0.25">
      <c r="B448" s="78"/>
    </row>
    <row r="449" spans="2:21" s="7" customFormat="1" ht="18.75" x14ac:dyDescent="0.3">
      <c r="B449" s="8" t="s">
        <v>236</v>
      </c>
    </row>
    <row r="451" spans="2:21" ht="18.75" x14ac:dyDescent="0.3">
      <c r="B451" s="9" t="s">
        <v>237</v>
      </c>
      <c r="I451" s="9" t="s">
        <v>238</v>
      </c>
    </row>
    <row r="452" spans="2:21" ht="18.75" x14ac:dyDescent="0.3">
      <c r="B452" s="9"/>
      <c r="D452" s="231"/>
      <c r="L452" s="231"/>
    </row>
    <row r="453" spans="2:21" ht="19.5" thickBot="1" x14ac:dyDescent="0.35">
      <c r="B453" s="9" t="s">
        <v>239</v>
      </c>
      <c r="C453" s="11"/>
      <c r="D453" s="12"/>
      <c r="E453" s="11"/>
      <c r="F453" s="11"/>
      <c r="G453" s="11"/>
      <c r="I453" s="9" t="s">
        <v>239</v>
      </c>
      <c r="J453" s="83"/>
      <c r="K453" s="12"/>
      <c r="L453" s="11"/>
      <c r="M453" s="11"/>
      <c r="N453" s="386"/>
      <c r="P453" s="9" t="s">
        <v>240</v>
      </c>
      <c r="R453" s="6"/>
      <c r="S453" s="6"/>
      <c r="U453" s="12"/>
    </row>
    <row r="454" spans="2:21" ht="30" x14ac:dyDescent="0.25">
      <c r="B454" s="20" t="s">
        <v>22</v>
      </c>
      <c r="C454" s="21" t="s">
        <v>23</v>
      </c>
      <c r="D454" s="21" t="s">
        <v>24</v>
      </c>
      <c r="E454" s="21" t="s">
        <v>25</v>
      </c>
      <c r="F454" s="22" t="s">
        <v>26</v>
      </c>
      <c r="G454" s="23" t="s">
        <v>27</v>
      </c>
      <c r="I454" s="20" t="s">
        <v>22</v>
      </c>
      <c r="J454" s="21" t="s">
        <v>23</v>
      </c>
      <c r="K454" s="21" t="s">
        <v>24</v>
      </c>
      <c r="L454" s="21" t="s">
        <v>25</v>
      </c>
      <c r="M454" s="22" t="s">
        <v>26</v>
      </c>
      <c r="N454" s="23" t="s">
        <v>27</v>
      </c>
      <c r="P454" s="25"/>
      <c r="Q454" s="26" t="s">
        <v>24</v>
      </c>
      <c r="R454" s="27" t="s">
        <v>25</v>
      </c>
      <c r="S454" s="27" t="s">
        <v>27</v>
      </c>
      <c r="T454" s="28" t="s">
        <v>28</v>
      </c>
    </row>
    <row r="455" spans="2:21" x14ac:dyDescent="0.25">
      <c r="B455" s="29" t="s">
        <v>29</v>
      </c>
      <c r="C455" s="122" t="s">
        <v>103</v>
      </c>
      <c r="D455" s="31">
        <v>0</v>
      </c>
      <c r="E455" s="41">
        <v>0</v>
      </c>
      <c r="G455" s="387">
        <v>23</v>
      </c>
      <c r="I455" s="29" t="s">
        <v>29</v>
      </c>
      <c r="J455" s="122" t="s">
        <v>103</v>
      </c>
      <c r="K455" s="45">
        <v>0</v>
      </c>
      <c r="L455" s="32"/>
      <c r="N455" s="388">
        <v>9</v>
      </c>
      <c r="P455" s="38" t="s">
        <v>29</v>
      </c>
      <c r="Q455" s="39">
        <v>32</v>
      </c>
      <c r="R455" s="40">
        <v>0</v>
      </c>
      <c r="S455" s="32">
        <f>SUM(Q455,R455)</f>
        <v>32</v>
      </c>
      <c r="T455" s="41">
        <f>S455/S457*100</f>
        <v>100</v>
      </c>
    </row>
    <row r="456" spans="2:21" x14ac:dyDescent="0.25">
      <c r="B456" s="42"/>
      <c r="C456" s="176">
        <v>0.06</v>
      </c>
      <c r="D456" s="31">
        <v>3</v>
      </c>
      <c r="E456" s="41">
        <v>0</v>
      </c>
      <c r="G456" s="389"/>
      <c r="I456" s="42"/>
      <c r="J456" s="176">
        <v>0.06</v>
      </c>
      <c r="K456" s="31">
        <v>2</v>
      </c>
      <c r="L456" s="32">
        <v>0</v>
      </c>
      <c r="N456" s="390"/>
      <c r="P456" s="56" t="s">
        <v>32</v>
      </c>
      <c r="Q456" s="57">
        <v>0</v>
      </c>
      <c r="R456" s="58">
        <v>0</v>
      </c>
      <c r="S456" s="50">
        <f>SUM(Q456,R456)</f>
        <v>0</v>
      </c>
      <c r="T456" s="59">
        <f>S456/S457*100</f>
        <v>0</v>
      </c>
    </row>
    <row r="457" spans="2:21" x14ac:dyDescent="0.25">
      <c r="B457" s="42"/>
      <c r="C457" s="176">
        <v>0.12</v>
      </c>
      <c r="D457" s="31">
        <v>14</v>
      </c>
      <c r="E457" s="41">
        <v>0</v>
      </c>
      <c r="G457" s="389"/>
      <c r="I457" s="42"/>
      <c r="J457" s="176">
        <v>0.12</v>
      </c>
      <c r="K457" s="31">
        <v>7</v>
      </c>
      <c r="L457" s="32">
        <v>0</v>
      </c>
      <c r="N457" s="390"/>
      <c r="P457" s="56" t="s">
        <v>27</v>
      </c>
      <c r="Q457" s="64">
        <f>SUM(Q455,Q456)</f>
        <v>32</v>
      </c>
      <c r="R457" s="50">
        <f>SUM(R455,R456)</f>
        <v>0</v>
      </c>
      <c r="S457" s="50">
        <f>SUM(Q455:R456)</f>
        <v>32</v>
      </c>
      <c r="T457" s="59"/>
    </row>
    <row r="458" spans="2:21" x14ac:dyDescent="0.25">
      <c r="B458" s="47"/>
      <c r="C458" s="48">
        <v>0.25</v>
      </c>
      <c r="D458" s="58">
        <v>6</v>
      </c>
      <c r="E458" s="59">
        <v>0</v>
      </c>
      <c r="F458" s="64"/>
      <c r="G458" s="391"/>
      <c r="I458" s="47"/>
      <c r="J458" s="48">
        <v>0.25</v>
      </c>
      <c r="K458" s="49">
        <v>0</v>
      </c>
      <c r="L458" s="50">
        <v>0</v>
      </c>
      <c r="M458" s="64"/>
      <c r="N458" s="392"/>
      <c r="P458" s="56" t="s">
        <v>28</v>
      </c>
      <c r="Q458" s="64">
        <f>Q457/S457*100</f>
        <v>100</v>
      </c>
      <c r="R458" s="59">
        <f>R457/S457*100</f>
        <v>0</v>
      </c>
      <c r="S458" s="59"/>
      <c r="T458" s="59"/>
    </row>
    <row r="459" spans="2:21" x14ac:dyDescent="0.25">
      <c r="B459" s="29" t="s">
        <v>32</v>
      </c>
      <c r="C459" s="30">
        <v>0.5</v>
      </c>
      <c r="D459" s="119">
        <v>0</v>
      </c>
      <c r="E459" s="393">
        <v>0</v>
      </c>
      <c r="F459" s="394"/>
      <c r="G459" s="387">
        <v>0</v>
      </c>
      <c r="I459" s="29" t="s">
        <v>32</v>
      </c>
      <c r="J459" s="30">
        <v>0.5</v>
      </c>
      <c r="K459" s="119">
        <v>0</v>
      </c>
      <c r="L459" s="45">
        <v>0</v>
      </c>
      <c r="M459" s="394"/>
      <c r="N459" s="388">
        <v>0</v>
      </c>
    </row>
    <row r="460" spans="2:21" x14ac:dyDescent="0.25">
      <c r="B460" s="47"/>
      <c r="C460" s="48" t="s">
        <v>241</v>
      </c>
      <c r="D460" s="114">
        <v>0</v>
      </c>
      <c r="E460" s="59">
        <v>0</v>
      </c>
      <c r="F460" s="64"/>
      <c r="G460" s="391"/>
      <c r="I460" s="47"/>
      <c r="J460" s="48" t="s">
        <v>241</v>
      </c>
      <c r="K460" s="114">
        <v>0</v>
      </c>
      <c r="L460" s="50">
        <v>0</v>
      </c>
      <c r="M460" s="64"/>
      <c r="N460" s="392"/>
    </row>
    <row r="461" spans="2:21" ht="15.75" thickBot="1" x14ac:dyDescent="0.3">
      <c r="B461" s="70"/>
      <c r="C461" s="173"/>
      <c r="D461" s="173">
        <v>23</v>
      </c>
      <c r="E461" s="173"/>
      <c r="F461" s="174"/>
      <c r="G461" s="138">
        <v>23</v>
      </c>
      <c r="I461" s="70"/>
      <c r="J461" s="71"/>
      <c r="K461" s="173">
        <v>9</v>
      </c>
      <c r="L461" s="173">
        <v>0</v>
      </c>
      <c r="M461" s="174"/>
      <c r="N461" s="395">
        <v>9</v>
      </c>
    </row>
    <row r="462" spans="2:21" x14ac:dyDescent="0.25">
      <c r="G462" s="396"/>
      <c r="J462" s="78"/>
      <c r="N462" s="397"/>
    </row>
    <row r="463" spans="2:21" x14ac:dyDescent="0.25">
      <c r="G463" s="396"/>
      <c r="J463" s="78"/>
      <c r="N463" s="397"/>
    </row>
    <row r="464" spans="2:21" ht="19.5" thickBot="1" x14ac:dyDescent="0.35">
      <c r="B464" s="9" t="s">
        <v>242</v>
      </c>
      <c r="C464" s="11"/>
      <c r="D464" s="12"/>
      <c r="E464" s="16"/>
      <c r="F464" s="16"/>
      <c r="G464" s="16"/>
      <c r="H464" s="6"/>
      <c r="I464" s="15" t="s">
        <v>242</v>
      </c>
      <c r="J464" s="85"/>
      <c r="K464" s="12"/>
      <c r="L464" s="16"/>
      <c r="M464" s="16"/>
      <c r="N464" s="398"/>
      <c r="O464" s="6"/>
      <c r="P464" s="9" t="s">
        <v>243</v>
      </c>
      <c r="R464" s="6"/>
      <c r="S464" s="6"/>
      <c r="U464" s="12"/>
    </row>
    <row r="465" spans="2:20" ht="30" x14ac:dyDescent="0.25">
      <c r="B465" s="20" t="s">
        <v>22</v>
      </c>
      <c r="C465" s="21" t="s">
        <v>23</v>
      </c>
      <c r="D465" s="21" t="s">
        <v>24</v>
      </c>
      <c r="E465" s="21" t="s">
        <v>25</v>
      </c>
      <c r="F465" s="22" t="s">
        <v>26</v>
      </c>
      <c r="G465" s="23" t="s">
        <v>27</v>
      </c>
      <c r="H465" s="6"/>
      <c r="I465" s="20" t="s">
        <v>22</v>
      </c>
      <c r="J465" s="21" t="s">
        <v>23</v>
      </c>
      <c r="K465" s="21" t="s">
        <v>24</v>
      </c>
      <c r="L465" s="21" t="s">
        <v>25</v>
      </c>
      <c r="M465" s="22" t="s">
        <v>26</v>
      </c>
      <c r="N465" s="23" t="s">
        <v>27</v>
      </c>
      <c r="O465" s="6"/>
      <c r="P465" s="25"/>
      <c r="Q465" s="26" t="s">
        <v>24</v>
      </c>
      <c r="R465" s="27" t="s">
        <v>25</v>
      </c>
      <c r="S465" s="27" t="s">
        <v>27</v>
      </c>
      <c r="T465" s="28" t="s">
        <v>28</v>
      </c>
    </row>
    <row r="466" spans="2:20" x14ac:dyDescent="0.25">
      <c r="B466" s="399" t="s">
        <v>29</v>
      </c>
      <c r="C466" s="400" t="s">
        <v>244</v>
      </c>
      <c r="D466" s="364">
        <v>0</v>
      </c>
      <c r="E466" s="366">
        <v>0</v>
      </c>
      <c r="F466" s="401"/>
      <c r="G466" s="266">
        <v>23</v>
      </c>
      <c r="H466" s="6"/>
      <c r="I466" s="263" t="s">
        <v>29</v>
      </c>
      <c r="J466" s="364" t="s">
        <v>245</v>
      </c>
      <c r="K466" s="364">
        <v>0</v>
      </c>
      <c r="L466" s="366">
        <v>0</v>
      </c>
      <c r="M466" s="401"/>
      <c r="N466" s="266">
        <v>0</v>
      </c>
      <c r="O466" s="6"/>
      <c r="P466" s="38" t="s">
        <v>29</v>
      </c>
      <c r="Q466" s="39">
        <v>23</v>
      </c>
      <c r="R466" s="40">
        <v>0</v>
      </c>
      <c r="S466" s="32">
        <f>SUM(Q466,R466)</f>
        <v>23</v>
      </c>
      <c r="T466" s="41">
        <f>S466/S469*100</f>
        <v>71.875</v>
      </c>
    </row>
    <row r="467" spans="2:20" x14ac:dyDescent="0.25">
      <c r="B467" s="402"/>
      <c r="C467" s="403">
        <v>0.25</v>
      </c>
      <c r="D467" s="264">
        <v>0</v>
      </c>
      <c r="E467" s="298">
        <v>0</v>
      </c>
      <c r="F467" s="404"/>
      <c r="G467" s="271"/>
      <c r="H467" s="6"/>
      <c r="I467" s="269"/>
      <c r="J467" s="264">
        <v>0.25</v>
      </c>
      <c r="K467" s="264">
        <v>0</v>
      </c>
      <c r="L467" s="298">
        <v>0</v>
      </c>
      <c r="M467" s="404"/>
      <c r="N467" s="271"/>
      <c r="O467" s="6"/>
      <c r="P467" s="38" t="s">
        <v>31</v>
      </c>
      <c r="Q467" s="39">
        <v>0</v>
      </c>
      <c r="R467" s="405">
        <v>0</v>
      </c>
      <c r="S467" s="99">
        <v>0</v>
      </c>
      <c r="T467" s="38">
        <v>0</v>
      </c>
    </row>
    <row r="468" spans="2:20" x14ac:dyDescent="0.25">
      <c r="B468" s="402"/>
      <c r="C468" s="403">
        <v>0.5</v>
      </c>
      <c r="D468" s="264">
        <v>0</v>
      </c>
      <c r="E468" s="298">
        <v>0</v>
      </c>
      <c r="F468" s="404"/>
      <c r="G468" s="271"/>
      <c r="H468" s="6"/>
      <c r="I468" s="269"/>
      <c r="J468" s="264">
        <v>0.5</v>
      </c>
      <c r="K468" s="264">
        <v>0</v>
      </c>
      <c r="L468" s="298">
        <v>0</v>
      </c>
      <c r="M468" s="404"/>
      <c r="N468" s="271"/>
      <c r="O468" s="6"/>
      <c r="P468" s="56" t="s">
        <v>32</v>
      </c>
      <c r="Q468" s="57">
        <v>0</v>
      </c>
      <c r="R468" s="58">
        <v>9</v>
      </c>
      <c r="S468" s="50">
        <f>SUM(Q468,R468)</f>
        <v>9</v>
      </c>
      <c r="T468" s="59">
        <f>S468/S469*100</f>
        <v>28.125</v>
      </c>
    </row>
    <row r="469" spans="2:20" x14ac:dyDescent="0.25">
      <c r="B469" s="402"/>
      <c r="C469" s="403">
        <v>1</v>
      </c>
      <c r="D469" s="270">
        <v>23</v>
      </c>
      <c r="E469" s="264">
        <v>0</v>
      </c>
      <c r="F469" s="265"/>
      <c r="G469" s="271"/>
      <c r="H469" s="6"/>
      <c r="I469" s="269"/>
      <c r="J469" s="264">
        <v>1</v>
      </c>
      <c r="K469" s="264">
        <v>0</v>
      </c>
      <c r="L469" s="264">
        <v>0</v>
      </c>
      <c r="M469" s="265"/>
      <c r="N469" s="271"/>
      <c r="O469" s="6"/>
      <c r="P469" s="56" t="s">
        <v>27</v>
      </c>
      <c r="Q469" s="64">
        <f>SUM(Q466,Q468)</f>
        <v>23</v>
      </c>
      <c r="R469" s="50">
        <f>SUM(R466,R468)</f>
        <v>9</v>
      </c>
      <c r="S469" s="50">
        <f>SUM(Q466:R468)</f>
        <v>32</v>
      </c>
      <c r="T469" s="59"/>
    </row>
    <row r="470" spans="2:20" x14ac:dyDescent="0.25">
      <c r="B470" s="402"/>
      <c r="C470" s="403">
        <v>2</v>
      </c>
      <c r="D470" s="264">
        <v>0</v>
      </c>
      <c r="E470" s="264">
        <v>0</v>
      </c>
      <c r="F470" s="265"/>
      <c r="G470" s="271"/>
      <c r="H470" s="6"/>
      <c r="I470" s="269"/>
      <c r="J470" s="264">
        <v>2</v>
      </c>
      <c r="K470" s="264">
        <v>0</v>
      </c>
      <c r="L470" s="264">
        <v>0</v>
      </c>
      <c r="M470" s="265"/>
      <c r="N470" s="271"/>
      <c r="O470" s="6"/>
      <c r="P470" s="56" t="s">
        <v>28</v>
      </c>
      <c r="Q470" s="64">
        <f>Q469/S469*100</f>
        <v>71.875</v>
      </c>
      <c r="R470" s="59">
        <f>R469/S469*100</f>
        <v>28.125</v>
      </c>
      <c r="S470" s="59"/>
      <c r="T470" s="59"/>
    </row>
    <row r="471" spans="2:20" x14ac:dyDescent="0.25">
      <c r="B471" s="406"/>
      <c r="C471" s="407">
        <v>4</v>
      </c>
      <c r="D471" s="256">
        <v>0</v>
      </c>
      <c r="E471" s="300">
        <v>0</v>
      </c>
      <c r="F471" s="105"/>
      <c r="G471" s="277"/>
      <c r="H471" s="6"/>
      <c r="I471" s="274"/>
      <c r="J471" s="256">
        <v>4</v>
      </c>
      <c r="K471" s="256">
        <v>0</v>
      </c>
      <c r="L471" s="300">
        <v>0</v>
      </c>
      <c r="M471" s="105"/>
      <c r="N471" s="277"/>
      <c r="O471" s="6"/>
    </row>
    <row r="472" spans="2:20" x14ac:dyDescent="0.25">
      <c r="B472" s="408" t="s">
        <v>31</v>
      </c>
      <c r="C472" s="407">
        <v>8</v>
      </c>
      <c r="D472" s="256">
        <v>0</v>
      </c>
      <c r="E472" s="300">
        <v>0</v>
      </c>
      <c r="F472" s="105"/>
      <c r="G472" s="258">
        <v>0</v>
      </c>
      <c r="H472" s="6"/>
      <c r="I472" s="255" t="s">
        <v>31</v>
      </c>
      <c r="J472" s="256">
        <v>8</v>
      </c>
      <c r="K472" s="256">
        <v>0</v>
      </c>
      <c r="L472" s="300">
        <v>0</v>
      </c>
      <c r="M472" s="105"/>
      <c r="N472" s="258">
        <v>0</v>
      </c>
      <c r="O472" s="6"/>
    </row>
    <row r="473" spans="2:20" ht="56.25" customHeight="1" x14ac:dyDescent="0.25">
      <c r="B473" s="409" t="s">
        <v>32</v>
      </c>
      <c r="C473" s="410" t="s">
        <v>61</v>
      </c>
      <c r="D473" s="275">
        <v>0</v>
      </c>
      <c r="E473" s="278">
        <v>0</v>
      </c>
      <c r="F473" s="105"/>
      <c r="G473" s="411">
        <v>0</v>
      </c>
      <c r="H473" s="6"/>
      <c r="I473" s="243" t="s">
        <v>32</v>
      </c>
      <c r="J473" s="275" t="s">
        <v>61</v>
      </c>
      <c r="K473" s="275">
        <v>0</v>
      </c>
      <c r="L473" s="276">
        <v>9</v>
      </c>
      <c r="M473" s="105" t="s">
        <v>246</v>
      </c>
      <c r="N473" s="412">
        <v>9</v>
      </c>
      <c r="O473" s="6"/>
      <c r="S473" s="239"/>
    </row>
    <row r="474" spans="2:20" ht="15.75" thickBot="1" x14ac:dyDescent="0.3">
      <c r="B474" s="70"/>
      <c r="C474" s="413"/>
      <c r="D474" s="285">
        <v>23</v>
      </c>
      <c r="E474" s="285">
        <v>0</v>
      </c>
      <c r="F474" s="286"/>
      <c r="G474" s="414">
        <v>23</v>
      </c>
      <c r="H474" s="6"/>
      <c r="I474" s="75"/>
      <c r="J474" s="285"/>
      <c r="K474" s="285">
        <v>0</v>
      </c>
      <c r="L474" s="285">
        <v>9</v>
      </c>
      <c r="M474" s="286"/>
      <c r="N474" s="415">
        <v>9</v>
      </c>
      <c r="O474" s="6"/>
    </row>
    <row r="475" spans="2:20" x14ac:dyDescent="0.25">
      <c r="D475" s="6"/>
      <c r="E475" s="6"/>
      <c r="F475" s="6"/>
      <c r="G475" s="6"/>
      <c r="H475" s="6"/>
      <c r="I475" s="6"/>
      <c r="J475" s="81"/>
      <c r="K475" s="6"/>
      <c r="L475" s="6"/>
      <c r="M475" s="6"/>
      <c r="N475" s="416"/>
      <c r="O475" s="6"/>
    </row>
    <row r="476" spans="2:20" ht="19.5" thickBot="1" x14ac:dyDescent="0.35">
      <c r="B476" s="139" t="s">
        <v>247</v>
      </c>
      <c r="C476" s="141"/>
      <c r="D476" s="12"/>
      <c r="E476" s="141"/>
      <c r="F476" s="141"/>
      <c r="G476" s="141"/>
      <c r="H476" s="6"/>
      <c r="I476" s="15" t="s">
        <v>248</v>
      </c>
      <c r="J476" s="85"/>
      <c r="K476" s="12"/>
      <c r="L476" s="16"/>
      <c r="M476" s="417"/>
      <c r="N476" s="398"/>
      <c r="O476" s="6"/>
      <c r="P476" s="9" t="s">
        <v>249</v>
      </c>
      <c r="R476" s="6"/>
      <c r="S476" s="6"/>
    </row>
    <row r="477" spans="2:20" ht="30" x14ac:dyDescent="0.25">
      <c r="B477" s="20" t="s">
        <v>22</v>
      </c>
      <c r="C477" s="21" t="s">
        <v>23</v>
      </c>
      <c r="D477" s="21" t="s">
        <v>24</v>
      </c>
      <c r="E477" s="21" t="s">
        <v>25</v>
      </c>
      <c r="F477" s="22" t="s">
        <v>26</v>
      </c>
      <c r="G477" s="23" t="s">
        <v>27</v>
      </c>
      <c r="H477" s="6"/>
      <c r="I477" s="20" t="s">
        <v>22</v>
      </c>
      <c r="J477" s="21" t="s">
        <v>23</v>
      </c>
      <c r="K477" s="21" t="s">
        <v>24</v>
      </c>
      <c r="L477" s="21" t="s">
        <v>25</v>
      </c>
      <c r="M477" s="22" t="s">
        <v>26</v>
      </c>
      <c r="N477" s="23" t="s">
        <v>27</v>
      </c>
      <c r="O477" s="418"/>
      <c r="P477" s="25"/>
      <c r="Q477" s="26" t="s">
        <v>24</v>
      </c>
      <c r="R477" s="27" t="s">
        <v>25</v>
      </c>
      <c r="S477" s="27" t="s">
        <v>27</v>
      </c>
      <c r="T477" s="28" t="s">
        <v>28</v>
      </c>
    </row>
    <row r="478" spans="2:20" x14ac:dyDescent="0.25">
      <c r="B478" s="148"/>
      <c r="C478" s="419" t="s">
        <v>46</v>
      </c>
      <c r="D478" s="150">
        <v>1</v>
      </c>
      <c r="E478" s="152"/>
      <c r="F478" s="151"/>
      <c r="G478" s="153"/>
      <c r="H478" s="6"/>
      <c r="I478" s="35" t="s">
        <v>29</v>
      </c>
      <c r="J478" s="86" t="s">
        <v>46</v>
      </c>
      <c r="K478" s="31">
        <v>2</v>
      </c>
      <c r="L478" s="32">
        <v>0</v>
      </c>
      <c r="M478" s="6"/>
      <c r="N478" s="90">
        <v>6</v>
      </c>
      <c r="O478" s="6"/>
      <c r="P478" s="38" t="s">
        <v>29</v>
      </c>
      <c r="Q478" s="39">
        <v>6</v>
      </c>
      <c r="R478" s="40">
        <v>0</v>
      </c>
      <c r="S478" s="32">
        <f>SUM(Q478,R478)</f>
        <v>6</v>
      </c>
      <c r="T478" s="41">
        <f>S478/S481*100</f>
        <v>66.666666666666657</v>
      </c>
    </row>
    <row r="479" spans="2:20" x14ac:dyDescent="0.25">
      <c r="B479" s="148"/>
      <c r="C479" s="149">
        <v>1</v>
      </c>
      <c r="D479" s="150"/>
      <c r="E479" s="152"/>
      <c r="F479" s="151"/>
      <c r="G479" s="153"/>
      <c r="H479" s="6"/>
      <c r="I479" s="53"/>
      <c r="J479" s="54">
        <v>1</v>
      </c>
      <c r="K479" s="58">
        <v>4</v>
      </c>
      <c r="L479" s="50">
        <v>0</v>
      </c>
      <c r="M479" s="127"/>
      <c r="N479" s="94"/>
      <c r="O479" s="32"/>
      <c r="P479" s="41" t="s">
        <v>31</v>
      </c>
      <c r="Q479" s="39">
        <v>1</v>
      </c>
      <c r="R479" s="40">
        <v>1</v>
      </c>
      <c r="S479" s="32">
        <f>SUM(Q479,R479)</f>
        <v>2</v>
      </c>
      <c r="T479" s="41">
        <f>S479/S481*100</f>
        <v>22.222222222222221</v>
      </c>
    </row>
    <row r="480" spans="2:20" x14ac:dyDescent="0.25">
      <c r="B480" s="148"/>
      <c r="C480" s="149">
        <v>2</v>
      </c>
      <c r="D480" s="224">
        <v>1</v>
      </c>
      <c r="E480" s="420"/>
      <c r="F480" s="150"/>
      <c r="G480" s="153"/>
      <c r="H480" s="6"/>
      <c r="I480" s="35" t="s">
        <v>31</v>
      </c>
      <c r="J480" s="36">
        <v>2</v>
      </c>
      <c r="K480" s="31">
        <v>1</v>
      </c>
      <c r="L480" s="40">
        <v>1</v>
      </c>
      <c r="M480" s="125" t="s">
        <v>250</v>
      </c>
      <c r="N480" s="90">
        <v>2</v>
      </c>
      <c r="O480" s="6"/>
      <c r="P480" s="56" t="s">
        <v>32</v>
      </c>
      <c r="Q480" s="57">
        <v>1</v>
      </c>
      <c r="R480" s="58">
        <v>0</v>
      </c>
      <c r="S480" s="50">
        <f>SUM(Q480,R480)</f>
        <v>1</v>
      </c>
      <c r="T480" s="59">
        <f>S480/S481*100</f>
        <v>11.111111111111111</v>
      </c>
    </row>
    <row r="481" spans="2:21" x14ac:dyDescent="0.25">
      <c r="B481" s="148"/>
      <c r="C481" s="149">
        <v>4</v>
      </c>
      <c r="D481" s="151">
        <v>1</v>
      </c>
      <c r="E481" s="152"/>
      <c r="F481" s="151"/>
      <c r="G481" s="153"/>
      <c r="H481" s="6"/>
      <c r="I481" s="53"/>
      <c r="J481" s="54">
        <v>4</v>
      </c>
      <c r="K481" s="50">
        <v>0</v>
      </c>
      <c r="L481" s="50">
        <v>0</v>
      </c>
      <c r="M481" s="127"/>
      <c r="N481" s="94"/>
      <c r="O481" s="6"/>
      <c r="P481" s="56" t="s">
        <v>27</v>
      </c>
      <c r="Q481" s="64">
        <f>SUM(Q478:Q480)</f>
        <v>8</v>
      </c>
      <c r="R481" s="64">
        <f>SUM(R478:R480)</f>
        <v>1</v>
      </c>
      <c r="S481" s="50">
        <f>SUM(Q478:R480)</f>
        <v>9</v>
      </c>
      <c r="T481" s="59"/>
    </row>
    <row r="482" spans="2:21" x14ac:dyDescent="0.25">
      <c r="B482" s="160"/>
      <c r="C482" s="161" t="s">
        <v>33</v>
      </c>
      <c r="D482" s="421">
        <v>13</v>
      </c>
      <c r="E482" s="162">
        <v>7</v>
      </c>
      <c r="F482" s="162" t="s">
        <v>251</v>
      </c>
      <c r="G482" s="165"/>
      <c r="H482" s="6"/>
      <c r="I482" s="155" t="s">
        <v>32</v>
      </c>
      <c r="J482" s="54" t="s">
        <v>33</v>
      </c>
      <c r="K482" s="132">
        <v>1</v>
      </c>
      <c r="L482" s="50">
        <v>0</v>
      </c>
      <c r="M482" s="127" t="s">
        <v>252</v>
      </c>
      <c r="N482" s="422">
        <v>1</v>
      </c>
      <c r="O482" s="6"/>
      <c r="P482" s="56" t="s">
        <v>28</v>
      </c>
      <c r="Q482" s="64">
        <f>Q481/S481*100</f>
        <v>88.888888888888886</v>
      </c>
      <c r="R482" s="59">
        <f>R481/S481*100</f>
        <v>11.111111111111111</v>
      </c>
      <c r="S482" s="59"/>
      <c r="T482" s="59"/>
    </row>
    <row r="483" spans="2:21" ht="15.75" thickBot="1" x14ac:dyDescent="0.3">
      <c r="B483" s="167"/>
      <c r="C483" s="169"/>
      <c r="D483" s="169"/>
      <c r="E483" s="169"/>
      <c r="F483" s="170"/>
      <c r="G483" s="171"/>
      <c r="H483" s="6"/>
      <c r="I483" s="75"/>
      <c r="J483" s="76"/>
      <c r="K483" s="72">
        <v>8</v>
      </c>
      <c r="L483" s="72">
        <v>1</v>
      </c>
      <c r="M483" s="97"/>
      <c r="N483" s="423">
        <v>9</v>
      </c>
      <c r="O483" s="6"/>
    </row>
    <row r="484" spans="2:21" x14ac:dyDescent="0.25">
      <c r="D484" s="6"/>
      <c r="E484" s="6"/>
      <c r="F484" s="6"/>
      <c r="G484" s="6"/>
      <c r="H484" s="6"/>
      <c r="I484" s="6"/>
      <c r="J484" s="81"/>
      <c r="K484" s="6"/>
      <c r="L484" s="6"/>
      <c r="M484" s="6"/>
      <c r="N484" s="416"/>
      <c r="O484" s="6"/>
    </row>
    <row r="485" spans="2:21" ht="19.5" thickBot="1" x14ac:dyDescent="0.35">
      <c r="B485" s="9" t="s">
        <v>91</v>
      </c>
      <c r="C485" s="83"/>
      <c r="D485" s="12"/>
      <c r="E485" s="16"/>
      <c r="F485" s="16"/>
      <c r="G485" s="16"/>
      <c r="H485" s="6"/>
      <c r="I485" s="15" t="s">
        <v>91</v>
      </c>
      <c r="J485" s="85"/>
      <c r="K485" s="12"/>
      <c r="L485" s="16"/>
      <c r="M485" s="16"/>
      <c r="N485" s="398"/>
      <c r="O485" s="6"/>
      <c r="P485" s="9" t="s">
        <v>253</v>
      </c>
      <c r="R485" s="6"/>
      <c r="S485" s="6"/>
      <c r="U485" s="12"/>
    </row>
    <row r="486" spans="2:21" ht="30" x14ac:dyDescent="0.25">
      <c r="B486" s="20" t="s">
        <v>22</v>
      </c>
      <c r="C486" s="21" t="s">
        <v>23</v>
      </c>
      <c r="D486" s="21" t="s">
        <v>24</v>
      </c>
      <c r="E486" s="21" t="s">
        <v>25</v>
      </c>
      <c r="F486" s="22" t="s">
        <v>26</v>
      </c>
      <c r="G486" s="23" t="s">
        <v>27</v>
      </c>
      <c r="H486" s="6"/>
      <c r="I486" s="20" t="s">
        <v>22</v>
      </c>
      <c r="J486" s="21" t="s">
        <v>23</v>
      </c>
      <c r="K486" s="21" t="s">
        <v>24</v>
      </c>
      <c r="L486" s="21" t="s">
        <v>25</v>
      </c>
      <c r="M486" s="22" t="s">
        <v>26</v>
      </c>
      <c r="N486" s="23" t="s">
        <v>27</v>
      </c>
      <c r="O486" s="6"/>
      <c r="P486" s="25"/>
      <c r="Q486" s="26" t="s">
        <v>24</v>
      </c>
      <c r="R486" s="27" t="s">
        <v>25</v>
      </c>
      <c r="S486" s="27" t="s">
        <v>27</v>
      </c>
      <c r="T486" s="28" t="s">
        <v>28</v>
      </c>
    </row>
    <row r="487" spans="2:21" x14ac:dyDescent="0.25">
      <c r="B487" s="29" t="s">
        <v>29</v>
      </c>
      <c r="C487" s="122" t="s">
        <v>82</v>
      </c>
      <c r="D487" s="45">
        <v>0</v>
      </c>
      <c r="E487" s="32">
        <v>0</v>
      </c>
      <c r="F487" s="6"/>
      <c r="G487" s="424">
        <v>23</v>
      </c>
      <c r="H487" s="6"/>
      <c r="I487" s="35" t="s">
        <v>29</v>
      </c>
      <c r="J487" s="86" t="s">
        <v>82</v>
      </c>
      <c r="K487" s="45">
        <v>0</v>
      </c>
      <c r="L487" s="32">
        <v>0</v>
      </c>
      <c r="M487" s="6"/>
      <c r="N487" s="425">
        <v>9</v>
      </c>
      <c r="O487" s="6"/>
      <c r="P487" s="38" t="s">
        <v>29</v>
      </c>
      <c r="Q487" s="39">
        <v>32</v>
      </c>
      <c r="R487" s="40">
        <v>0</v>
      </c>
      <c r="S487" s="32">
        <f>SUM(Q487,R487)</f>
        <v>32</v>
      </c>
      <c r="T487" s="41">
        <f>S487/S489*100</f>
        <v>100</v>
      </c>
    </row>
    <row r="488" spans="2:21" x14ac:dyDescent="0.25">
      <c r="B488" s="42"/>
      <c r="C488" s="176">
        <v>2</v>
      </c>
      <c r="D488" s="31">
        <v>23</v>
      </c>
      <c r="E488" s="32">
        <v>0</v>
      </c>
      <c r="F488" s="6"/>
      <c r="G488" s="426"/>
      <c r="H488" s="6"/>
      <c r="I488" s="44"/>
      <c r="J488" s="427">
        <v>2</v>
      </c>
      <c r="K488" s="31">
        <v>9</v>
      </c>
      <c r="L488" s="32">
        <v>0</v>
      </c>
      <c r="M488" s="6"/>
      <c r="N488" s="428"/>
      <c r="O488" s="6"/>
      <c r="P488" s="56" t="s">
        <v>32</v>
      </c>
      <c r="Q488" s="57">
        <v>0</v>
      </c>
      <c r="R488" s="58">
        <v>0</v>
      </c>
      <c r="S488" s="50">
        <f>SUM(Q488,R488)</f>
        <v>0</v>
      </c>
      <c r="T488" s="59">
        <f>S488/S489*100</f>
        <v>0</v>
      </c>
    </row>
    <row r="489" spans="2:21" x14ac:dyDescent="0.25">
      <c r="B489" s="47"/>
      <c r="C489" s="48">
        <v>4</v>
      </c>
      <c r="D489" s="49">
        <v>0</v>
      </c>
      <c r="E489" s="50">
        <v>0</v>
      </c>
      <c r="F489" s="127"/>
      <c r="G489" s="429"/>
      <c r="H489" s="6"/>
      <c r="I489" s="53"/>
      <c r="J489" s="54">
        <v>4</v>
      </c>
      <c r="K489" s="49">
        <v>0</v>
      </c>
      <c r="L489" s="50">
        <v>0</v>
      </c>
      <c r="M489" s="127"/>
      <c r="N489" s="430"/>
      <c r="O489" s="6"/>
      <c r="P489" s="56" t="s">
        <v>27</v>
      </c>
      <c r="Q489" s="64">
        <f>SUM(Q487,Q488)</f>
        <v>32</v>
      </c>
      <c r="R489" s="50">
        <f>SUM(R487,R488)</f>
        <v>0</v>
      </c>
      <c r="S489" s="50">
        <f>SUM(Q487:R488)</f>
        <v>32</v>
      </c>
      <c r="T489" s="59"/>
    </row>
    <row r="490" spans="2:21" x14ac:dyDescent="0.25">
      <c r="B490" s="29" t="s">
        <v>32</v>
      </c>
      <c r="C490" s="30">
        <v>8</v>
      </c>
      <c r="D490" s="119">
        <v>0</v>
      </c>
      <c r="E490" s="45">
        <v>0</v>
      </c>
      <c r="F490" s="128"/>
      <c r="G490" s="424">
        <v>0</v>
      </c>
      <c r="H490" s="6"/>
      <c r="I490" s="35" t="s">
        <v>32</v>
      </c>
      <c r="J490" s="36">
        <v>8</v>
      </c>
      <c r="K490" s="119">
        <v>0</v>
      </c>
      <c r="L490" s="45">
        <v>0</v>
      </c>
      <c r="M490" s="128"/>
      <c r="N490" s="425">
        <v>0</v>
      </c>
      <c r="O490" s="6"/>
      <c r="P490" s="56" t="s">
        <v>28</v>
      </c>
      <c r="Q490" s="64">
        <f>Q489/S489*100</f>
        <v>100</v>
      </c>
      <c r="R490" s="59">
        <f>R489/S489*100</f>
        <v>0</v>
      </c>
      <c r="S490" s="59"/>
      <c r="T490" s="59"/>
    </row>
    <row r="491" spans="2:21" x14ac:dyDescent="0.25">
      <c r="B491" s="47"/>
      <c r="C491" s="48" t="s">
        <v>87</v>
      </c>
      <c r="D491" s="114">
        <v>0</v>
      </c>
      <c r="E491" s="50">
        <v>0</v>
      </c>
      <c r="F491" s="127"/>
      <c r="G491" s="429"/>
      <c r="H491" s="6"/>
      <c r="I491" s="53"/>
      <c r="J491" s="54" t="s">
        <v>87</v>
      </c>
      <c r="K491" s="114">
        <v>0</v>
      </c>
      <c r="L491" s="50">
        <v>0</v>
      </c>
      <c r="M491" s="127"/>
      <c r="N491" s="430"/>
      <c r="O491" s="6"/>
    </row>
    <row r="492" spans="2:21" ht="15.75" thickBot="1" x14ac:dyDescent="0.3">
      <c r="B492" s="70"/>
      <c r="C492" s="71"/>
      <c r="D492" s="72">
        <v>23</v>
      </c>
      <c r="E492" s="72">
        <v>0</v>
      </c>
      <c r="F492" s="97"/>
      <c r="G492" s="98">
        <v>23</v>
      </c>
      <c r="H492" s="6"/>
      <c r="I492" s="75"/>
      <c r="J492" s="76"/>
      <c r="K492" s="72">
        <v>9</v>
      </c>
      <c r="L492" s="72">
        <v>0</v>
      </c>
      <c r="M492" s="97"/>
      <c r="N492" s="423">
        <v>9</v>
      </c>
      <c r="O492" s="6"/>
    </row>
    <row r="493" spans="2:21" x14ac:dyDescent="0.25">
      <c r="C493" s="78"/>
      <c r="D493" s="6"/>
      <c r="E493" s="6"/>
      <c r="F493" s="6"/>
      <c r="G493" s="6"/>
      <c r="H493" s="6"/>
      <c r="I493" s="6"/>
      <c r="J493" s="81"/>
      <c r="K493" s="6"/>
      <c r="L493" s="6"/>
      <c r="M493" s="6"/>
      <c r="N493" s="416"/>
      <c r="O493" s="6"/>
    </row>
    <row r="494" spans="2:21" ht="19.5" thickBot="1" x14ac:dyDescent="0.35">
      <c r="B494" s="9" t="s">
        <v>99</v>
      </c>
      <c r="C494" s="83"/>
      <c r="D494" s="12"/>
      <c r="E494" s="16"/>
      <c r="F494" s="16"/>
      <c r="G494" s="16"/>
      <c r="H494" s="6"/>
      <c r="I494" s="15" t="s">
        <v>99</v>
      </c>
      <c r="J494" s="85"/>
      <c r="K494" s="12"/>
      <c r="L494" s="16"/>
      <c r="M494" s="16"/>
      <c r="N494" s="398"/>
      <c r="O494" s="6"/>
      <c r="P494" s="9" t="s">
        <v>254</v>
      </c>
      <c r="R494" s="6"/>
      <c r="S494" s="6"/>
      <c r="U494" s="12"/>
    </row>
    <row r="495" spans="2:21" ht="30" x14ac:dyDescent="0.25">
      <c r="B495" s="20" t="s">
        <v>22</v>
      </c>
      <c r="C495" s="21" t="s">
        <v>23</v>
      </c>
      <c r="D495" s="21" t="s">
        <v>24</v>
      </c>
      <c r="E495" s="21" t="s">
        <v>25</v>
      </c>
      <c r="F495" s="22" t="s">
        <v>26</v>
      </c>
      <c r="G495" s="23" t="s">
        <v>27</v>
      </c>
      <c r="H495" s="6"/>
      <c r="I495" s="20" t="s">
        <v>22</v>
      </c>
      <c r="J495" s="21" t="s">
        <v>23</v>
      </c>
      <c r="K495" s="21" t="s">
        <v>24</v>
      </c>
      <c r="L495" s="21" t="s">
        <v>25</v>
      </c>
      <c r="M495" s="22" t="s">
        <v>26</v>
      </c>
      <c r="N495" s="23" t="s">
        <v>27</v>
      </c>
      <c r="O495" s="6"/>
      <c r="P495" s="25"/>
      <c r="Q495" s="26" t="s">
        <v>24</v>
      </c>
      <c r="R495" s="27" t="s">
        <v>25</v>
      </c>
      <c r="S495" s="27" t="s">
        <v>27</v>
      </c>
      <c r="T495" s="28" t="s">
        <v>28</v>
      </c>
    </row>
    <row r="496" spans="2:21" x14ac:dyDescent="0.25">
      <c r="B496" s="29" t="s">
        <v>29</v>
      </c>
      <c r="C496" s="122" t="s">
        <v>30</v>
      </c>
      <c r="D496" s="45">
        <v>0</v>
      </c>
      <c r="E496" s="32">
        <v>0</v>
      </c>
      <c r="F496" s="6"/>
      <c r="G496" s="424">
        <v>23</v>
      </c>
      <c r="H496" s="6"/>
      <c r="I496" s="35" t="s">
        <v>29</v>
      </c>
      <c r="J496" s="86" t="s">
        <v>30</v>
      </c>
      <c r="K496" s="45">
        <v>0</v>
      </c>
      <c r="L496" s="32">
        <v>0</v>
      </c>
      <c r="M496" s="6"/>
      <c r="N496" s="425">
        <v>9</v>
      </c>
      <c r="O496" s="6"/>
      <c r="P496" s="38" t="s">
        <v>29</v>
      </c>
      <c r="Q496" s="39">
        <v>32</v>
      </c>
      <c r="R496" s="40">
        <v>0</v>
      </c>
      <c r="S496" s="32">
        <f>SUM(Q496,R496)</f>
        <v>32</v>
      </c>
      <c r="T496" s="41">
        <f>S496/S498*100</f>
        <v>100</v>
      </c>
    </row>
    <row r="497" spans="2:20" x14ac:dyDescent="0.25">
      <c r="B497" s="42"/>
      <c r="C497" s="176">
        <v>0.5</v>
      </c>
      <c r="D497" s="31">
        <v>1</v>
      </c>
      <c r="E497" s="32">
        <v>0</v>
      </c>
      <c r="F497" s="6"/>
      <c r="G497" s="426"/>
      <c r="H497" s="6"/>
      <c r="I497" s="44"/>
      <c r="J497" s="427">
        <v>0.5</v>
      </c>
      <c r="K497" s="31">
        <v>2</v>
      </c>
      <c r="L497" s="32">
        <v>0</v>
      </c>
      <c r="M497" s="6"/>
      <c r="N497" s="428"/>
      <c r="O497" s="6"/>
      <c r="P497" s="56" t="s">
        <v>32</v>
      </c>
      <c r="Q497" s="57">
        <v>0</v>
      </c>
      <c r="R497" s="58">
        <v>0</v>
      </c>
      <c r="S497" s="50">
        <f>SUM(Q497,R497)</f>
        <v>0</v>
      </c>
      <c r="T497" s="59">
        <f>S497/S498*100</f>
        <v>0</v>
      </c>
    </row>
    <row r="498" spans="2:20" x14ac:dyDescent="0.25">
      <c r="B498" s="42"/>
      <c r="C498" s="176">
        <v>1</v>
      </c>
      <c r="D498" s="31">
        <v>10</v>
      </c>
      <c r="E498" s="32">
        <v>0</v>
      </c>
      <c r="F498" s="6"/>
      <c r="G498" s="426"/>
      <c r="H498" s="6"/>
      <c r="I498" s="44"/>
      <c r="J498" s="427">
        <v>1</v>
      </c>
      <c r="K498" s="31">
        <v>7</v>
      </c>
      <c r="L498" s="32">
        <v>0</v>
      </c>
      <c r="M498" s="6"/>
      <c r="N498" s="428"/>
      <c r="O498" s="6"/>
      <c r="P498" s="56" t="s">
        <v>27</v>
      </c>
      <c r="Q498" s="64">
        <f>SUM(Q496,Q497)</f>
        <v>32</v>
      </c>
      <c r="R498" s="50">
        <f>SUM(R496,R497)</f>
        <v>0</v>
      </c>
      <c r="S498" s="50">
        <f>SUM(Q496:R497)</f>
        <v>32</v>
      </c>
      <c r="T498" s="59"/>
    </row>
    <row r="499" spans="2:20" x14ac:dyDescent="0.25">
      <c r="B499" s="42"/>
      <c r="C499" s="176">
        <v>2</v>
      </c>
      <c r="D499" s="31">
        <v>12</v>
      </c>
      <c r="E499" s="32">
        <v>0</v>
      </c>
      <c r="F499" s="6"/>
      <c r="G499" s="426"/>
      <c r="H499" s="6"/>
      <c r="I499" s="44"/>
      <c r="J499" s="427">
        <v>2</v>
      </c>
      <c r="K499" s="45">
        <v>0</v>
      </c>
      <c r="L499" s="32">
        <v>0</v>
      </c>
      <c r="M499" s="6"/>
      <c r="N499" s="428"/>
      <c r="O499" s="6"/>
      <c r="P499" s="56" t="s">
        <v>28</v>
      </c>
      <c r="Q499" s="64">
        <f>Q498/S498*100</f>
        <v>100</v>
      </c>
      <c r="R499" s="59">
        <f>R498/S498*100</f>
        <v>0</v>
      </c>
      <c r="S499" s="59"/>
      <c r="T499" s="59"/>
    </row>
    <row r="500" spans="2:20" x14ac:dyDescent="0.25">
      <c r="B500" s="47"/>
      <c r="C500" s="48">
        <v>4</v>
      </c>
      <c r="D500" s="49">
        <v>0</v>
      </c>
      <c r="E500" s="50">
        <v>0</v>
      </c>
      <c r="F500" s="127"/>
      <c r="G500" s="429"/>
      <c r="H500" s="6"/>
      <c r="I500" s="53"/>
      <c r="J500" s="54">
        <v>4</v>
      </c>
      <c r="K500" s="49">
        <v>0</v>
      </c>
      <c r="L500" s="50">
        <v>0</v>
      </c>
      <c r="M500" s="127"/>
      <c r="N500" s="430"/>
      <c r="O500" s="6"/>
    </row>
    <row r="501" spans="2:20" x14ac:dyDescent="0.25">
      <c r="B501" s="29" t="s">
        <v>32</v>
      </c>
      <c r="C501" s="30">
        <v>8</v>
      </c>
      <c r="D501" s="119">
        <v>0</v>
      </c>
      <c r="E501" s="45">
        <v>0</v>
      </c>
      <c r="F501" s="128"/>
      <c r="G501" s="424">
        <v>0</v>
      </c>
      <c r="H501" s="6"/>
      <c r="I501" s="35" t="s">
        <v>32</v>
      </c>
      <c r="J501" s="36">
        <v>8</v>
      </c>
      <c r="K501" s="119">
        <v>0</v>
      </c>
      <c r="L501" s="45">
        <v>0</v>
      </c>
      <c r="M501" s="128"/>
      <c r="N501" s="425">
        <v>0</v>
      </c>
      <c r="O501" s="6"/>
    </row>
    <row r="502" spans="2:20" x14ac:dyDescent="0.25">
      <c r="B502" s="42"/>
      <c r="C502" s="30">
        <v>16</v>
      </c>
      <c r="D502" s="119">
        <v>0</v>
      </c>
      <c r="E502" s="45">
        <v>0</v>
      </c>
      <c r="F502" s="128"/>
      <c r="G502" s="426"/>
      <c r="H502" s="6"/>
      <c r="I502" s="44"/>
      <c r="J502" s="36">
        <v>16</v>
      </c>
      <c r="K502" s="119">
        <v>0</v>
      </c>
      <c r="L502" s="45">
        <v>0</v>
      </c>
      <c r="M502" s="128"/>
      <c r="N502" s="428"/>
      <c r="O502" s="6"/>
    </row>
    <row r="503" spans="2:20" x14ac:dyDescent="0.25">
      <c r="B503" s="42"/>
      <c r="C503" s="30">
        <v>32</v>
      </c>
      <c r="D503" s="119">
        <v>0</v>
      </c>
      <c r="E503" s="45">
        <v>0</v>
      </c>
      <c r="F503" s="128"/>
      <c r="G503" s="426"/>
      <c r="H503" s="6"/>
      <c r="I503" s="44"/>
      <c r="J503" s="36">
        <v>32</v>
      </c>
      <c r="K503" s="119">
        <v>0</v>
      </c>
      <c r="L503" s="45">
        <v>0</v>
      </c>
      <c r="M503" s="128"/>
      <c r="N503" s="428"/>
      <c r="O503" s="6"/>
    </row>
    <row r="504" spans="2:20" x14ac:dyDescent="0.25">
      <c r="B504" s="47"/>
      <c r="C504" s="48" t="s">
        <v>101</v>
      </c>
      <c r="D504" s="114">
        <v>0</v>
      </c>
      <c r="E504" s="50">
        <v>0</v>
      </c>
      <c r="F504" s="127"/>
      <c r="G504" s="429"/>
      <c r="H504" s="6"/>
      <c r="I504" s="53"/>
      <c r="J504" s="54" t="s">
        <v>101</v>
      </c>
      <c r="K504" s="114">
        <v>0</v>
      </c>
      <c r="L504" s="50">
        <v>0</v>
      </c>
      <c r="M504" s="127"/>
      <c r="N504" s="430"/>
      <c r="O504" s="6"/>
    </row>
    <row r="505" spans="2:20" ht="15.75" thickBot="1" x14ac:dyDescent="0.3">
      <c r="B505" s="70"/>
      <c r="C505" s="71"/>
      <c r="D505" s="72">
        <v>23</v>
      </c>
      <c r="E505" s="72">
        <v>0</v>
      </c>
      <c r="F505" s="97"/>
      <c r="G505" s="98">
        <v>23</v>
      </c>
      <c r="H505" s="6"/>
      <c r="I505" s="75"/>
      <c r="J505" s="76"/>
      <c r="K505" s="72">
        <v>9</v>
      </c>
      <c r="L505" s="72">
        <v>0</v>
      </c>
      <c r="M505" s="97"/>
      <c r="N505" s="423">
        <v>9</v>
      </c>
      <c r="O505" s="6"/>
    </row>
    <row r="506" spans="2:20" x14ac:dyDescent="0.25">
      <c r="D506" s="6"/>
      <c r="E506" s="6"/>
      <c r="F506" s="6"/>
      <c r="G506" s="6"/>
      <c r="H506" s="6"/>
      <c r="I506" s="6"/>
      <c r="J506" s="6"/>
      <c r="K506" s="6"/>
      <c r="L506" s="6"/>
      <c r="M506" s="6"/>
      <c r="N506" s="6"/>
      <c r="O506" s="6"/>
    </row>
    <row r="507" spans="2:20" x14ac:dyDescent="0.25">
      <c r="D507" s="6"/>
      <c r="E507" s="6"/>
      <c r="F507" s="6"/>
      <c r="G507" s="6"/>
      <c r="H507" s="6"/>
      <c r="I507" s="6"/>
      <c r="J507" s="6"/>
      <c r="K507" s="6"/>
      <c r="L507" s="6"/>
      <c r="M507" s="6"/>
      <c r="N507" s="6"/>
      <c r="O507" s="6"/>
    </row>
    <row r="508" spans="2:20" ht="18.75" x14ac:dyDescent="0.3">
      <c r="B508" s="9" t="s">
        <v>255</v>
      </c>
      <c r="D508" s="6"/>
      <c r="E508" s="6"/>
      <c r="F508" s="6"/>
      <c r="G508" s="6"/>
      <c r="H508" s="6"/>
      <c r="I508" s="9" t="s">
        <v>256</v>
      </c>
      <c r="K508" s="6"/>
      <c r="L508" s="6"/>
      <c r="M508" s="6"/>
      <c r="N508" s="6"/>
      <c r="O508" s="6"/>
      <c r="P508" s="9" t="s">
        <v>257</v>
      </c>
    </row>
    <row r="509" spans="2:20" x14ac:dyDescent="0.25">
      <c r="B509" s="25"/>
      <c r="C509" s="26" t="s">
        <v>24</v>
      </c>
      <c r="D509" s="27" t="s">
        <v>25</v>
      </c>
      <c r="E509" s="27" t="s">
        <v>27</v>
      </c>
      <c r="F509" s="28" t="s">
        <v>28</v>
      </c>
      <c r="G509" s="6"/>
      <c r="H509" s="6"/>
      <c r="I509" s="25"/>
      <c r="J509" s="26" t="s">
        <v>24</v>
      </c>
      <c r="K509" s="27" t="s">
        <v>25</v>
      </c>
      <c r="L509" s="27" t="s">
        <v>27</v>
      </c>
      <c r="M509" s="28" t="s">
        <v>28</v>
      </c>
      <c r="N509" s="6"/>
      <c r="O509" s="6"/>
      <c r="P509" s="25"/>
      <c r="Q509" s="26" t="s">
        <v>24</v>
      </c>
      <c r="R509" s="27" t="s">
        <v>25</v>
      </c>
      <c r="S509" s="27" t="s">
        <v>27</v>
      </c>
      <c r="T509" s="28" t="s">
        <v>28</v>
      </c>
    </row>
    <row r="510" spans="2:20" x14ac:dyDescent="0.25">
      <c r="B510" s="38" t="s">
        <v>109</v>
      </c>
      <c r="C510" s="39">
        <v>92</v>
      </c>
      <c r="D510" s="40">
        <v>0</v>
      </c>
      <c r="E510" s="32">
        <f>SUM(C510,D510)</f>
        <v>92</v>
      </c>
      <c r="F510" s="41">
        <f>E510/E512*100</f>
        <v>100</v>
      </c>
      <c r="G510" s="6"/>
      <c r="H510" s="6"/>
      <c r="I510" s="38" t="s">
        <v>109</v>
      </c>
      <c r="J510" s="39">
        <v>34</v>
      </c>
      <c r="K510" s="40">
        <v>1</v>
      </c>
      <c r="L510" s="32">
        <f>SUM(J510,K510)</f>
        <v>35</v>
      </c>
      <c r="M510" s="41">
        <f>L510/L512*100</f>
        <v>77.777777777777786</v>
      </c>
      <c r="N510" s="6"/>
      <c r="O510" s="6"/>
      <c r="P510" s="38" t="s">
        <v>109</v>
      </c>
      <c r="Q510" s="39">
        <v>126</v>
      </c>
      <c r="R510" s="40">
        <v>1</v>
      </c>
      <c r="S510" s="32">
        <f>SUM(Q510,R510)</f>
        <v>127</v>
      </c>
      <c r="T510" s="41">
        <f>S510/S512*100</f>
        <v>92.700729927007302</v>
      </c>
    </row>
    <row r="511" spans="2:20" x14ac:dyDescent="0.25">
      <c r="B511" s="56" t="s">
        <v>110</v>
      </c>
      <c r="C511" s="57">
        <v>0</v>
      </c>
      <c r="D511" s="58">
        <v>0</v>
      </c>
      <c r="E511" s="50">
        <f>SUM(C511,D511)</f>
        <v>0</v>
      </c>
      <c r="F511" s="59">
        <f>E511/E512*100</f>
        <v>0</v>
      </c>
      <c r="G511" s="6"/>
      <c r="H511" s="6"/>
      <c r="I511" s="56" t="s">
        <v>110</v>
      </c>
      <c r="J511" s="57">
        <v>1</v>
      </c>
      <c r="K511" s="58">
        <v>9</v>
      </c>
      <c r="L511" s="50">
        <f>SUM(J511,K511)</f>
        <v>10</v>
      </c>
      <c r="M511" s="59">
        <f>L511/L512*100</f>
        <v>22.222222222222221</v>
      </c>
      <c r="N511" s="6"/>
      <c r="O511" s="6"/>
      <c r="P511" s="56" t="s">
        <v>110</v>
      </c>
      <c r="Q511" s="57">
        <v>1</v>
      </c>
      <c r="R511" s="58">
        <v>9</v>
      </c>
      <c r="S511" s="50">
        <f>SUM(Q511,R511)</f>
        <v>10</v>
      </c>
      <c r="T511" s="59">
        <f>S511/S512*100</f>
        <v>7.2992700729926998</v>
      </c>
    </row>
    <row r="512" spans="2:20" x14ac:dyDescent="0.25">
      <c r="B512" s="56" t="s">
        <v>27</v>
      </c>
      <c r="C512" s="64">
        <f>SUM(C510,C511)</f>
        <v>92</v>
      </c>
      <c r="D512" s="50">
        <f>SUM(D510,D511)</f>
        <v>0</v>
      </c>
      <c r="E512" s="50">
        <f>SUM(C510:D511)</f>
        <v>92</v>
      </c>
      <c r="F512" s="59"/>
      <c r="G512" s="6"/>
      <c r="H512" s="6"/>
      <c r="I512" s="56" t="s">
        <v>27</v>
      </c>
      <c r="J512" s="64">
        <f>SUM(J510,J511)</f>
        <v>35</v>
      </c>
      <c r="K512" s="50">
        <f>SUM(K510,K511)</f>
        <v>10</v>
      </c>
      <c r="L512" s="50">
        <f>SUM(J510:K511)</f>
        <v>45</v>
      </c>
      <c r="M512" s="59"/>
      <c r="N512" s="6"/>
      <c r="O512" s="6"/>
      <c r="P512" s="56" t="s">
        <v>27</v>
      </c>
      <c r="Q512" s="64">
        <f>SUM(Q510,Q511)</f>
        <v>127</v>
      </c>
      <c r="R512" s="50">
        <f>SUM(R510,R511)</f>
        <v>10</v>
      </c>
      <c r="S512" s="50">
        <f>SUM(Q510:R511)</f>
        <v>137</v>
      </c>
      <c r="T512" s="59"/>
    </row>
    <row r="513" spans="2:20" x14ac:dyDescent="0.25">
      <c r="B513" s="56" t="s">
        <v>28</v>
      </c>
      <c r="C513" s="64">
        <f>C512/E512*100</f>
        <v>100</v>
      </c>
      <c r="D513" s="59">
        <f>D512/E512*100</f>
        <v>0</v>
      </c>
      <c r="E513" s="59"/>
      <c r="F513" s="59"/>
      <c r="G513" s="6"/>
      <c r="H513" s="6"/>
      <c r="I513" s="56" t="s">
        <v>28</v>
      </c>
      <c r="J513" s="64">
        <f>J512/L512*100</f>
        <v>77.777777777777786</v>
      </c>
      <c r="K513" s="59">
        <f>K512/L512*100</f>
        <v>22.222222222222221</v>
      </c>
      <c r="L513" s="59"/>
      <c r="M513" s="59"/>
      <c r="N513" s="6"/>
      <c r="O513" s="6"/>
      <c r="P513" s="56" t="s">
        <v>28</v>
      </c>
      <c r="Q513" s="64">
        <f>Q512/S512*100</f>
        <v>92.700729927007302</v>
      </c>
      <c r="R513" s="59">
        <f>R512/S512*100</f>
        <v>7.2992700729926998</v>
      </c>
      <c r="S513" s="59"/>
      <c r="T513" s="59"/>
    </row>
    <row r="515" spans="2:20" x14ac:dyDescent="0.25">
      <c r="D515" s="6"/>
      <c r="E515" s="6"/>
      <c r="F515" s="6"/>
      <c r="G515" s="6"/>
      <c r="H515" s="6"/>
      <c r="I515" s="6"/>
      <c r="J515" s="6"/>
      <c r="K515" s="6"/>
      <c r="L515" s="6"/>
      <c r="M515" s="6"/>
      <c r="N515" s="6"/>
      <c r="O515" s="6"/>
    </row>
    <row r="516" spans="2:20" x14ac:dyDescent="0.25">
      <c r="D516" s="6"/>
      <c r="E516" s="6"/>
      <c r="F516" s="6"/>
      <c r="G516" s="6"/>
      <c r="H516" s="6"/>
      <c r="I516" s="6"/>
      <c r="J516" s="6"/>
      <c r="K516" s="6"/>
      <c r="L516" s="6"/>
      <c r="M516" s="6"/>
      <c r="N516" s="6"/>
      <c r="O516" s="6"/>
    </row>
    <row r="517" spans="2:20" ht="18.75" x14ac:dyDescent="0.3">
      <c r="B517" s="9" t="s">
        <v>111</v>
      </c>
      <c r="D517" s="6"/>
      <c r="E517" s="6"/>
      <c r="F517" s="6"/>
      <c r="G517" s="6"/>
      <c r="H517" s="6"/>
      <c r="N517" s="6"/>
      <c r="O517" s="6"/>
    </row>
    <row r="518" spans="2:20" x14ac:dyDescent="0.25">
      <c r="B518" s="180" t="s">
        <v>112</v>
      </c>
    </row>
    <row r="520" spans="2:20" x14ac:dyDescent="0.25">
      <c r="B520" s="181" t="s">
        <v>120</v>
      </c>
      <c r="C520" s="431" t="s">
        <v>258</v>
      </c>
      <c r="F520" s="12"/>
    </row>
    <row r="521" spans="2:20" x14ac:dyDescent="0.25">
      <c r="B521" s="205"/>
      <c r="C521" s="205"/>
      <c r="D521" s="184" t="s">
        <v>237</v>
      </c>
      <c r="E521" s="110" t="s">
        <v>238</v>
      </c>
    </row>
    <row r="522" spans="2:20" x14ac:dyDescent="0.25">
      <c r="B522" s="208"/>
      <c r="C522" s="208"/>
      <c r="D522" s="38" t="s">
        <v>259</v>
      </c>
      <c r="E522" s="41" t="s">
        <v>259</v>
      </c>
    </row>
    <row r="523" spans="2:20" x14ac:dyDescent="0.25">
      <c r="B523" s="186" t="s">
        <v>22</v>
      </c>
      <c r="C523" s="186" t="s">
        <v>23</v>
      </c>
      <c r="D523" s="186" t="s">
        <v>117</v>
      </c>
      <c r="E523" s="48" t="s">
        <v>117</v>
      </c>
    </row>
    <row r="524" spans="2:20" x14ac:dyDescent="0.25">
      <c r="B524" s="189" t="s">
        <v>29</v>
      </c>
      <c r="C524" s="205" t="s">
        <v>123</v>
      </c>
      <c r="D524" s="432">
        <v>0</v>
      </c>
      <c r="E524" s="433">
        <v>0</v>
      </c>
    </row>
    <row r="525" spans="2:20" x14ac:dyDescent="0.25">
      <c r="B525" s="191"/>
      <c r="C525" s="208">
        <v>0.5</v>
      </c>
      <c r="D525" s="432">
        <v>0</v>
      </c>
      <c r="E525" s="433">
        <v>0</v>
      </c>
    </row>
    <row r="526" spans="2:20" x14ac:dyDescent="0.25">
      <c r="B526" s="191"/>
      <c r="C526" s="208">
        <v>1</v>
      </c>
      <c r="D526" s="432">
        <v>11</v>
      </c>
      <c r="E526" s="433">
        <v>0</v>
      </c>
    </row>
    <row r="527" spans="2:20" x14ac:dyDescent="0.25">
      <c r="B527" s="191"/>
      <c r="C527" s="208">
        <v>2</v>
      </c>
      <c r="D527" s="432">
        <v>10</v>
      </c>
      <c r="E527" s="433">
        <v>0</v>
      </c>
    </row>
    <row r="528" spans="2:20" x14ac:dyDescent="0.25">
      <c r="B528" s="190"/>
      <c r="C528" s="186">
        <v>4</v>
      </c>
      <c r="D528" s="434">
        <v>0</v>
      </c>
      <c r="E528" s="435">
        <v>0</v>
      </c>
    </row>
    <row r="529" spans="2:8" x14ac:dyDescent="0.25">
      <c r="B529" s="56" t="s">
        <v>32</v>
      </c>
      <c r="C529" s="186" t="s">
        <v>119</v>
      </c>
      <c r="D529" s="436">
        <v>2</v>
      </c>
      <c r="E529" s="437">
        <v>9</v>
      </c>
    </row>
    <row r="531" spans="2:8" x14ac:dyDescent="0.25">
      <c r="B531" s="181" t="s">
        <v>260</v>
      </c>
      <c r="C531" s="431" t="s">
        <v>258</v>
      </c>
      <c r="F531" s="12"/>
    </row>
    <row r="532" spans="2:8" x14ac:dyDescent="0.25">
      <c r="B532" s="205"/>
      <c r="C532" s="205"/>
      <c r="D532" s="184" t="s">
        <v>237</v>
      </c>
      <c r="E532" s="145" t="s">
        <v>261</v>
      </c>
    </row>
    <row r="533" spans="2:8" x14ac:dyDescent="0.25">
      <c r="B533" s="208"/>
      <c r="C533" s="208"/>
      <c r="D533" s="38" t="s">
        <v>262</v>
      </c>
      <c r="E533" s="151" t="s">
        <v>130</v>
      </c>
    </row>
    <row r="534" spans="2:8" x14ac:dyDescent="0.25">
      <c r="B534" s="186" t="s">
        <v>22</v>
      </c>
      <c r="C534" s="186" t="s">
        <v>23</v>
      </c>
      <c r="D534" s="186" t="s">
        <v>117</v>
      </c>
      <c r="E534" s="161" t="s">
        <v>117</v>
      </c>
    </row>
    <row r="535" spans="2:8" x14ac:dyDescent="0.25">
      <c r="B535" s="189" t="s">
        <v>29</v>
      </c>
      <c r="C535" s="205" t="s">
        <v>263</v>
      </c>
      <c r="D535" s="38">
        <v>23</v>
      </c>
      <c r="E535" s="151">
        <v>2</v>
      </c>
    </row>
    <row r="536" spans="2:8" x14ac:dyDescent="0.25">
      <c r="B536" s="190"/>
      <c r="C536" s="186">
        <v>64</v>
      </c>
      <c r="D536" s="56">
        <v>0</v>
      </c>
      <c r="E536" s="151">
        <v>6</v>
      </c>
    </row>
    <row r="537" spans="2:8" x14ac:dyDescent="0.25">
      <c r="B537" s="56" t="s">
        <v>32</v>
      </c>
      <c r="C537" s="186" t="s">
        <v>264</v>
      </c>
      <c r="D537" s="56">
        <v>0</v>
      </c>
      <c r="E537" s="162">
        <v>1</v>
      </c>
    </row>
    <row r="538" spans="2:8" x14ac:dyDescent="0.25">
      <c r="B538" s="78"/>
    </row>
    <row r="539" spans="2:8" x14ac:dyDescent="0.25">
      <c r="B539" s="78"/>
    </row>
    <row r="540" spans="2:8" ht="18.75" x14ac:dyDescent="0.3">
      <c r="B540" s="214" t="s">
        <v>131</v>
      </c>
      <c r="C540" s="6"/>
      <c r="D540" s="6"/>
      <c r="E540" s="6"/>
      <c r="F540" s="6"/>
      <c r="G540" s="12"/>
    </row>
    <row r="541" spans="2:8" x14ac:dyDescent="0.25">
      <c r="B541" s="78" t="s">
        <v>132</v>
      </c>
    </row>
    <row r="542" spans="2:8" x14ac:dyDescent="0.25">
      <c r="B542" s="78"/>
    </row>
    <row r="543" spans="2:8" x14ac:dyDescent="0.25">
      <c r="B543" s="215" t="s">
        <v>265</v>
      </c>
      <c r="C543" s="216" t="s">
        <v>266</v>
      </c>
      <c r="D543" s="5"/>
      <c r="E543" s="216" t="s">
        <v>266</v>
      </c>
      <c r="F543" s="5"/>
      <c r="G543" s="12"/>
      <c r="H543" s="231"/>
    </row>
    <row r="544" spans="2:8" x14ac:dyDescent="0.25">
      <c r="B544" s="218"/>
      <c r="C544" s="235" t="s">
        <v>237</v>
      </c>
      <c r="D544" s="236"/>
      <c r="E544" s="235" t="s">
        <v>238</v>
      </c>
      <c r="F544" s="236"/>
    </row>
    <row r="545" spans="2:8" x14ac:dyDescent="0.25">
      <c r="B545" s="220" t="s">
        <v>267</v>
      </c>
      <c r="C545" s="438" t="s">
        <v>130</v>
      </c>
      <c r="D545" s="439"/>
      <c r="E545" s="438" t="s">
        <v>130</v>
      </c>
      <c r="F545" s="439"/>
      <c r="H545" s="231"/>
    </row>
    <row r="546" spans="2:8" x14ac:dyDescent="0.25">
      <c r="B546" s="221" t="s">
        <v>23</v>
      </c>
      <c r="C546" s="440" t="s">
        <v>117</v>
      </c>
      <c r="D546" s="441" t="s">
        <v>26</v>
      </c>
      <c r="E546" s="440" t="s">
        <v>117</v>
      </c>
      <c r="F546" s="441" t="s">
        <v>26</v>
      </c>
    </row>
    <row r="547" spans="2:8" x14ac:dyDescent="0.25">
      <c r="B547" s="218" t="s">
        <v>30</v>
      </c>
      <c r="C547" s="5">
        <v>1</v>
      </c>
      <c r="D547" s="151"/>
      <c r="E547" s="5">
        <v>1</v>
      </c>
      <c r="F547" s="151" t="s">
        <v>268</v>
      </c>
    </row>
    <row r="548" spans="2:8" x14ac:dyDescent="0.25">
      <c r="B548" s="220">
        <v>0.5</v>
      </c>
      <c r="C548" s="5">
        <v>2</v>
      </c>
      <c r="D548" s="151"/>
      <c r="E548" s="5">
        <v>0</v>
      </c>
      <c r="F548" s="151"/>
    </row>
    <row r="549" spans="2:8" x14ac:dyDescent="0.25">
      <c r="B549" s="220">
        <v>1</v>
      </c>
      <c r="C549" s="5">
        <v>5</v>
      </c>
      <c r="D549" s="151"/>
      <c r="E549" s="5">
        <v>0</v>
      </c>
      <c r="F549" s="151"/>
    </row>
    <row r="550" spans="2:8" x14ac:dyDescent="0.25">
      <c r="B550" s="220">
        <v>2</v>
      </c>
      <c r="C550" s="5">
        <v>8</v>
      </c>
      <c r="D550" s="151"/>
      <c r="E550" s="5">
        <v>0</v>
      </c>
      <c r="F550" s="151"/>
    </row>
    <row r="551" spans="2:8" x14ac:dyDescent="0.25">
      <c r="B551" s="220">
        <v>4</v>
      </c>
      <c r="C551" s="5">
        <v>0</v>
      </c>
      <c r="D551" s="151"/>
      <c r="E551" s="5">
        <v>0</v>
      </c>
      <c r="F551" s="151"/>
    </row>
    <row r="552" spans="2:8" x14ac:dyDescent="0.25">
      <c r="B552" s="221" t="s">
        <v>119</v>
      </c>
      <c r="C552" s="222">
        <v>7</v>
      </c>
      <c r="D552" s="162" t="s">
        <v>251</v>
      </c>
      <c r="E552" s="222">
        <v>8</v>
      </c>
      <c r="F552" s="162" t="s">
        <v>269</v>
      </c>
    </row>
    <row r="553" spans="2:8" x14ac:dyDescent="0.25">
      <c r="B553" s="78"/>
    </row>
    <row r="554" spans="2:8" x14ac:dyDescent="0.25">
      <c r="B554" s="216" t="s">
        <v>270</v>
      </c>
      <c r="C554" s="216" t="s">
        <v>266</v>
      </c>
      <c r="D554" s="5"/>
      <c r="E554" s="216" t="s">
        <v>266</v>
      </c>
      <c r="F554" s="5"/>
    </row>
    <row r="555" spans="2:8" x14ac:dyDescent="0.25">
      <c r="B555" s="218"/>
      <c r="C555" s="235" t="s">
        <v>237</v>
      </c>
      <c r="D555" s="236"/>
      <c r="E555" s="235" t="s">
        <v>261</v>
      </c>
      <c r="F555" s="236"/>
      <c r="G555" s="12"/>
      <c r="H555" s="231"/>
    </row>
    <row r="556" spans="2:8" x14ac:dyDescent="0.25">
      <c r="B556" s="220" t="s">
        <v>267</v>
      </c>
      <c r="C556" s="438" t="s">
        <v>130</v>
      </c>
      <c r="D556" s="439"/>
      <c r="E556" s="438" t="s">
        <v>130</v>
      </c>
      <c r="F556" s="439"/>
      <c r="H556" s="231"/>
    </row>
    <row r="557" spans="2:8" x14ac:dyDescent="0.25">
      <c r="B557" s="221" t="s">
        <v>23</v>
      </c>
      <c r="C557" s="442" t="s">
        <v>117</v>
      </c>
      <c r="D557" s="161" t="s">
        <v>26</v>
      </c>
      <c r="E557" s="442" t="s">
        <v>117</v>
      </c>
      <c r="F557" s="161" t="s">
        <v>26</v>
      </c>
    </row>
    <row r="558" spans="2:8" x14ac:dyDescent="0.25">
      <c r="B558" s="218" t="s">
        <v>93</v>
      </c>
      <c r="C558" s="5">
        <v>9</v>
      </c>
      <c r="D558" s="145" t="s">
        <v>173</v>
      </c>
      <c r="E558" s="356">
        <v>7</v>
      </c>
      <c r="F558" s="145" t="s">
        <v>173</v>
      </c>
    </row>
    <row r="559" spans="2:8" x14ac:dyDescent="0.25">
      <c r="B559" s="220">
        <v>4</v>
      </c>
      <c r="C559" s="5">
        <v>0</v>
      </c>
      <c r="D559" s="151"/>
      <c r="E559" s="356"/>
      <c r="F559" s="151"/>
    </row>
    <row r="560" spans="2:8" x14ac:dyDescent="0.25">
      <c r="B560" s="220">
        <v>8</v>
      </c>
      <c r="C560" s="5">
        <v>0</v>
      </c>
      <c r="D560" s="151"/>
      <c r="E560" s="356"/>
      <c r="F560" s="151"/>
    </row>
    <row r="561" spans="2:8" x14ac:dyDescent="0.25">
      <c r="B561" s="220">
        <v>16</v>
      </c>
      <c r="C561" s="212">
        <v>0</v>
      </c>
      <c r="D561" s="151"/>
      <c r="E561" s="356"/>
      <c r="F561" s="151"/>
    </row>
    <row r="562" spans="2:8" x14ac:dyDescent="0.25">
      <c r="B562" s="221" t="s">
        <v>94</v>
      </c>
      <c r="C562" s="213">
        <v>14</v>
      </c>
      <c r="D562" s="162" t="s">
        <v>271</v>
      </c>
      <c r="E562" s="443">
        <v>2</v>
      </c>
      <c r="F562" s="162" t="s">
        <v>272</v>
      </c>
    </row>
    <row r="563" spans="2:8" x14ac:dyDescent="0.25">
      <c r="B563" s="78"/>
    </row>
    <row r="564" spans="2:8" x14ac:dyDescent="0.25">
      <c r="B564" s="216" t="s">
        <v>273</v>
      </c>
      <c r="C564" s="216" t="s">
        <v>266</v>
      </c>
      <c r="D564" s="5"/>
      <c r="E564" s="216" t="s">
        <v>266</v>
      </c>
      <c r="F564" s="5"/>
    </row>
    <row r="565" spans="2:8" x14ac:dyDescent="0.25">
      <c r="B565" s="218"/>
      <c r="C565" s="235" t="s">
        <v>237</v>
      </c>
      <c r="D565" s="236"/>
      <c r="E565" s="235" t="s">
        <v>261</v>
      </c>
      <c r="F565" s="236"/>
      <c r="G565" s="12"/>
      <c r="H565" s="231"/>
    </row>
    <row r="566" spans="2:8" x14ac:dyDescent="0.25">
      <c r="B566" s="220" t="s">
        <v>267</v>
      </c>
      <c r="C566" s="438" t="s">
        <v>130</v>
      </c>
      <c r="D566" s="439"/>
      <c r="E566" s="438" t="s">
        <v>130</v>
      </c>
      <c r="F566" s="439"/>
      <c r="H566" s="231"/>
    </row>
    <row r="567" spans="2:8" x14ac:dyDescent="0.25">
      <c r="B567" s="221" t="s">
        <v>23</v>
      </c>
      <c r="C567" s="442" t="s">
        <v>117</v>
      </c>
      <c r="D567" s="161" t="s">
        <v>26</v>
      </c>
      <c r="E567" s="442" t="s">
        <v>117</v>
      </c>
      <c r="F567" s="161" t="s">
        <v>26</v>
      </c>
    </row>
    <row r="568" spans="2:8" x14ac:dyDescent="0.25">
      <c r="B568" s="218">
        <v>0.5</v>
      </c>
      <c r="C568" s="5">
        <v>0</v>
      </c>
      <c r="D568" s="145"/>
      <c r="E568" s="356"/>
      <c r="F568" s="151"/>
    </row>
    <row r="569" spans="2:8" x14ac:dyDescent="0.25">
      <c r="B569" s="220">
        <v>1</v>
      </c>
      <c r="C569" s="5">
        <v>3</v>
      </c>
      <c r="D569" s="151"/>
      <c r="E569" s="356">
        <v>1</v>
      </c>
      <c r="F569" s="151"/>
    </row>
    <row r="570" spans="2:8" x14ac:dyDescent="0.25">
      <c r="B570" s="220">
        <v>2</v>
      </c>
      <c r="C570" s="5">
        <v>8</v>
      </c>
      <c r="D570" s="151"/>
      <c r="E570" s="356"/>
      <c r="F570" s="151"/>
    </row>
    <row r="571" spans="2:8" x14ac:dyDescent="0.25">
      <c r="B571" s="220">
        <v>4</v>
      </c>
      <c r="C571" s="212">
        <v>10</v>
      </c>
      <c r="D571" s="151"/>
      <c r="E571" s="356">
        <v>1</v>
      </c>
      <c r="F571" s="151"/>
    </row>
    <row r="572" spans="2:8" x14ac:dyDescent="0.25">
      <c r="B572" s="221" t="s">
        <v>119</v>
      </c>
      <c r="C572" s="213">
        <v>2</v>
      </c>
      <c r="D572" s="162"/>
      <c r="E572" s="443">
        <v>7</v>
      </c>
      <c r="F572" s="162"/>
    </row>
    <row r="573" spans="2:8" x14ac:dyDescent="0.25">
      <c r="B573" s="78"/>
      <c r="E573" s="444"/>
      <c r="F573" s="5"/>
    </row>
    <row r="574" spans="2:8" x14ac:dyDescent="0.25">
      <c r="B574" s="216" t="s">
        <v>113</v>
      </c>
      <c r="C574" s="216" t="s">
        <v>130</v>
      </c>
      <c r="D574" s="5"/>
      <c r="E574" s="5"/>
      <c r="F574" s="5"/>
      <c r="H574" s="12"/>
    </row>
    <row r="575" spans="2:8" x14ac:dyDescent="0.25">
      <c r="B575" s="218"/>
      <c r="C575" s="145" t="s">
        <v>237</v>
      </c>
      <c r="D575" s="145"/>
      <c r="E575" s="145" t="s">
        <v>261</v>
      </c>
      <c r="F575" s="145"/>
    </row>
    <row r="576" spans="2:8" x14ac:dyDescent="0.25">
      <c r="B576" s="220"/>
      <c r="C576" s="232" t="s">
        <v>130</v>
      </c>
      <c r="D576" s="445"/>
      <c r="E576" s="232" t="s">
        <v>130</v>
      </c>
      <c r="F576" s="445"/>
    </row>
    <row r="577" spans="2:8" x14ac:dyDescent="0.25">
      <c r="B577" s="221" t="s">
        <v>23</v>
      </c>
      <c r="C577" s="442" t="s">
        <v>117</v>
      </c>
      <c r="D577" s="161" t="s">
        <v>26</v>
      </c>
      <c r="E577" s="442" t="s">
        <v>117</v>
      </c>
      <c r="F577" s="161" t="s">
        <v>26</v>
      </c>
    </row>
    <row r="578" spans="2:8" x14ac:dyDescent="0.25">
      <c r="B578" s="220" t="s">
        <v>118</v>
      </c>
      <c r="C578" s="5">
        <v>0</v>
      </c>
      <c r="D578" s="151"/>
      <c r="E578" s="5">
        <v>0</v>
      </c>
      <c r="F578" s="151"/>
    </row>
    <row r="579" spans="2:8" x14ac:dyDescent="0.25">
      <c r="B579" s="220">
        <v>1</v>
      </c>
      <c r="C579" s="5">
        <v>13</v>
      </c>
      <c r="D579" s="151"/>
      <c r="E579" s="5">
        <v>1</v>
      </c>
      <c r="F579" s="151"/>
    </row>
    <row r="580" spans="2:8" x14ac:dyDescent="0.25">
      <c r="B580" s="220">
        <v>2</v>
      </c>
      <c r="C580" s="5">
        <v>7</v>
      </c>
      <c r="D580" s="151"/>
      <c r="E580" s="5">
        <v>1</v>
      </c>
      <c r="F580" s="151"/>
    </row>
    <row r="581" spans="2:8" x14ac:dyDescent="0.25">
      <c r="B581" s="220">
        <v>4</v>
      </c>
      <c r="C581" s="5">
        <v>1</v>
      </c>
      <c r="D581" s="151"/>
      <c r="E581" s="5">
        <v>7</v>
      </c>
      <c r="F581" s="151"/>
    </row>
    <row r="582" spans="2:8" x14ac:dyDescent="0.25">
      <c r="B582" s="221" t="s">
        <v>119</v>
      </c>
      <c r="C582" s="446">
        <v>2</v>
      </c>
      <c r="D582" s="162"/>
      <c r="E582" s="222">
        <v>0</v>
      </c>
      <c r="F582" s="162"/>
    </row>
    <row r="583" spans="2:8" x14ac:dyDescent="0.25">
      <c r="B583" s="5"/>
      <c r="C583" s="5"/>
      <c r="D583" s="5"/>
      <c r="E583" s="5"/>
      <c r="F583" s="5"/>
    </row>
    <row r="584" spans="2:8" x14ac:dyDescent="0.25">
      <c r="B584" s="215" t="s">
        <v>121</v>
      </c>
      <c r="C584" s="216" t="s">
        <v>130</v>
      </c>
      <c r="D584" s="216"/>
      <c r="E584" s="5"/>
      <c r="F584" s="5"/>
      <c r="H584" s="12"/>
    </row>
    <row r="585" spans="2:8" x14ac:dyDescent="0.25">
      <c r="B585" s="218"/>
      <c r="C585" s="145" t="s">
        <v>237</v>
      </c>
      <c r="D585" s="145"/>
      <c r="E585" s="145" t="s">
        <v>238</v>
      </c>
      <c r="F585" s="145"/>
    </row>
    <row r="586" spans="2:8" x14ac:dyDescent="0.25">
      <c r="B586" s="220"/>
      <c r="C586" s="232" t="s">
        <v>130</v>
      </c>
      <c r="D586" s="445"/>
      <c r="E586" s="232" t="s">
        <v>130</v>
      </c>
      <c r="F586" s="445"/>
    </row>
    <row r="587" spans="2:8" x14ac:dyDescent="0.25">
      <c r="B587" s="221" t="s">
        <v>23</v>
      </c>
      <c r="C587" s="442" t="s">
        <v>117</v>
      </c>
      <c r="D587" s="161" t="s">
        <v>26</v>
      </c>
      <c r="E587" s="442" t="s">
        <v>117</v>
      </c>
      <c r="F587" s="161" t="s">
        <v>26</v>
      </c>
    </row>
    <row r="588" spans="2:8" x14ac:dyDescent="0.25">
      <c r="B588" s="220" t="s">
        <v>123</v>
      </c>
      <c r="C588" s="5">
        <v>10</v>
      </c>
      <c r="D588" s="151"/>
      <c r="E588" s="5">
        <v>0</v>
      </c>
      <c r="F588" s="151"/>
    </row>
    <row r="589" spans="2:8" x14ac:dyDescent="0.25">
      <c r="B589" s="220">
        <v>0.5</v>
      </c>
      <c r="C589" s="5">
        <v>11</v>
      </c>
      <c r="D589" s="151"/>
      <c r="E589" s="5">
        <v>0</v>
      </c>
      <c r="F589" s="151"/>
    </row>
    <row r="590" spans="2:8" x14ac:dyDescent="0.25">
      <c r="B590" s="220">
        <v>1</v>
      </c>
      <c r="C590" s="5">
        <v>0</v>
      </c>
      <c r="D590" s="151"/>
      <c r="E590" s="5">
        <v>0</v>
      </c>
      <c r="F590" s="151"/>
    </row>
    <row r="591" spans="2:8" x14ac:dyDescent="0.25">
      <c r="B591" s="220">
        <v>2</v>
      </c>
      <c r="C591" s="5">
        <v>0</v>
      </c>
      <c r="D591" s="151"/>
      <c r="E591" s="5">
        <v>0</v>
      </c>
      <c r="F591" s="151"/>
    </row>
    <row r="592" spans="2:8" x14ac:dyDescent="0.25">
      <c r="B592" s="220">
        <v>4</v>
      </c>
      <c r="C592" s="5">
        <v>0</v>
      </c>
      <c r="D592" s="151"/>
      <c r="E592" s="5">
        <v>0</v>
      </c>
      <c r="F592" s="151"/>
    </row>
    <row r="593" spans="2:8" x14ac:dyDescent="0.25">
      <c r="B593" s="221" t="s">
        <v>119</v>
      </c>
      <c r="C593" s="234">
        <v>2</v>
      </c>
      <c r="D593" s="162"/>
      <c r="E593" s="234">
        <v>9</v>
      </c>
      <c r="F593" s="162"/>
    </row>
    <row r="594" spans="2:8" x14ac:dyDescent="0.25">
      <c r="B594" s="78"/>
      <c r="C594" s="78"/>
    </row>
    <row r="595" spans="2:8" x14ac:dyDescent="0.25">
      <c r="B595" s="215" t="s">
        <v>274</v>
      </c>
      <c r="C595" s="216" t="s">
        <v>275</v>
      </c>
      <c r="D595" s="5"/>
      <c r="E595" s="5"/>
      <c r="F595" s="5"/>
    </row>
    <row r="596" spans="2:8" x14ac:dyDescent="0.25">
      <c r="B596" s="218"/>
      <c r="C596" s="235" t="s">
        <v>237</v>
      </c>
      <c r="D596" s="236"/>
      <c r="E596" s="235" t="s">
        <v>238</v>
      </c>
      <c r="F596" s="236"/>
    </row>
    <row r="597" spans="2:8" x14ac:dyDescent="0.25">
      <c r="B597" s="220" t="s">
        <v>267</v>
      </c>
      <c r="C597" s="438" t="s">
        <v>130</v>
      </c>
      <c r="D597" s="439"/>
      <c r="E597" s="438" t="s">
        <v>130</v>
      </c>
      <c r="F597" s="439"/>
      <c r="H597" s="231"/>
    </row>
    <row r="598" spans="2:8" x14ac:dyDescent="0.25">
      <c r="B598" s="221" t="s">
        <v>23</v>
      </c>
      <c r="C598" s="442" t="s">
        <v>117</v>
      </c>
      <c r="D598" s="161" t="s">
        <v>26</v>
      </c>
      <c r="E598" s="442" t="s">
        <v>117</v>
      </c>
      <c r="F598" s="161" t="s">
        <v>26</v>
      </c>
    </row>
    <row r="599" spans="2:8" x14ac:dyDescent="0.25">
      <c r="B599" s="220" t="s">
        <v>118</v>
      </c>
      <c r="C599" s="5">
        <v>0</v>
      </c>
      <c r="D599" s="151"/>
      <c r="E599" s="5">
        <v>0</v>
      </c>
      <c r="F599" s="151"/>
    </row>
    <row r="600" spans="2:8" x14ac:dyDescent="0.25">
      <c r="B600" s="220">
        <v>1</v>
      </c>
      <c r="C600" s="5">
        <v>0</v>
      </c>
      <c r="D600" s="151"/>
      <c r="E600" s="5">
        <v>0</v>
      </c>
      <c r="F600" s="151"/>
    </row>
    <row r="601" spans="2:8" x14ac:dyDescent="0.25">
      <c r="B601" s="220">
        <v>2</v>
      </c>
      <c r="C601" s="5">
        <v>0</v>
      </c>
      <c r="D601" s="151"/>
      <c r="E601" s="5">
        <v>0</v>
      </c>
      <c r="F601" s="151"/>
    </row>
    <row r="602" spans="2:8" x14ac:dyDescent="0.25">
      <c r="B602" s="221" t="s">
        <v>124</v>
      </c>
      <c r="C602" s="222">
        <v>23</v>
      </c>
      <c r="D602" s="162" t="s">
        <v>276</v>
      </c>
      <c r="E602" s="222">
        <v>9</v>
      </c>
      <c r="F602" s="162" t="s">
        <v>277</v>
      </c>
    </row>
    <row r="603" spans="2:8" x14ac:dyDescent="0.25">
      <c r="B603" s="230"/>
      <c r="C603" s="5"/>
      <c r="D603" s="5"/>
      <c r="E603" s="5"/>
      <c r="F603" s="5"/>
    </row>
    <row r="604" spans="2:8" x14ac:dyDescent="0.25">
      <c r="B604" s="215" t="s">
        <v>278</v>
      </c>
      <c r="C604" s="216" t="s">
        <v>275</v>
      </c>
      <c r="D604" s="5"/>
      <c r="E604" s="5"/>
      <c r="F604" s="5"/>
    </row>
    <row r="605" spans="2:8" x14ac:dyDescent="0.25">
      <c r="B605" s="218"/>
      <c r="C605" s="235" t="s">
        <v>237</v>
      </c>
      <c r="D605" s="236"/>
      <c r="E605" s="235" t="s">
        <v>238</v>
      </c>
      <c r="F605" s="236"/>
    </row>
    <row r="606" spans="2:8" x14ac:dyDescent="0.25">
      <c r="B606" s="221" t="s">
        <v>23</v>
      </c>
      <c r="C606" s="442" t="s">
        <v>117</v>
      </c>
      <c r="D606" s="161" t="s">
        <v>26</v>
      </c>
      <c r="E606" s="442" t="s">
        <v>117</v>
      </c>
      <c r="F606" s="161" t="s">
        <v>26</v>
      </c>
    </row>
    <row r="607" spans="2:8" x14ac:dyDescent="0.25">
      <c r="B607" s="447" t="s">
        <v>279</v>
      </c>
      <c r="C607" s="448">
        <v>23</v>
      </c>
      <c r="D607" s="449"/>
      <c r="E607" s="448">
        <v>9</v>
      </c>
      <c r="F607" s="449"/>
    </row>
    <row r="608" spans="2:8" x14ac:dyDescent="0.25">
      <c r="B608" s="230"/>
      <c r="C608" s="5"/>
      <c r="D608" s="5"/>
      <c r="E608" s="5"/>
      <c r="F608" s="5"/>
    </row>
    <row r="609" spans="2:6" x14ac:dyDescent="0.25">
      <c r="B609" s="215" t="s">
        <v>280</v>
      </c>
      <c r="C609" s="216" t="s">
        <v>275</v>
      </c>
      <c r="D609" s="5"/>
      <c r="E609" s="5"/>
      <c r="F609" s="5"/>
    </row>
    <row r="610" spans="2:6" x14ac:dyDescent="0.25">
      <c r="B610" s="218"/>
      <c r="C610" s="235" t="s">
        <v>237</v>
      </c>
      <c r="D610" s="236"/>
      <c r="E610" s="235" t="s">
        <v>238</v>
      </c>
      <c r="F610" s="236"/>
    </row>
    <row r="611" spans="2:6" x14ac:dyDescent="0.25">
      <c r="B611" s="221" t="s">
        <v>23</v>
      </c>
      <c r="C611" s="442" t="s">
        <v>117</v>
      </c>
      <c r="D611" s="161" t="s">
        <v>26</v>
      </c>
      <c r="E611" s="442" t="s">
        <v>117</v>
      </c>
      <c r="F611" s="161" t="s">
        <v>26</v>
      </c>
    </row>
    <row r="612" spans="2:6" x14ac:dyDescent="0.25">
      <c r="B612" s="218" t="s">
        <v>118</v>
      </c>
      <c r="C612" s="5">
        <v>19</v>
      </c>
      <c r="D612" s="151"/>
      <c r="E612" s="5">
        <v>0</v>
      </c>
      <c r="F612" s="151"/>
    </row>
    <row r="613" spans="2:6" x14ac:dyDescent="0.25">
      <c r="B613" s="220">
        <v>1</v>
      </c>
      <c r="C613" s="5">
        <v>0</v>
      </c>
      <c r="D613" s="151"/>
      <c r="E613" s="5">
        <v>0</v>
      </c>
      <c r="F613" s="151"/>
    </row>
    <row r="614" spans="2:6" x14ac:dyDescent="0.25">
      <c r="B614" s="220">
        <v>2</v>
      </c>
      <c r="C614" s="5">
        <v>0</v>
      </c>
      <c r="D614" s="151"/>
      <c r="E614" s="5">
        <v>0</v>
      </c>
      <c r="F614" s="151"/>
    </row>
    <row r="615" spans="2:6" x14ac:dyDescent="0.25">
      <c r="B615" s="220">
        <v>4</v>
      </c>
      <c r="C615" s="5">
        <v>0</v>
      </c>
      <c r="D615" s="151"/>
      <c r="E615" s="5">
        <v>1</v>
      </c>
      <c r="F615" s="151" t="s">
        <v>281</v>
      </c>
    </row>
    <row r="616" spans="2:6" x14ac:dyDescent="0.25">
      <c r="B616" s="221" t="s">
        <v>119</v>
      </c>
      <c r="C616" s="234">
        <v>4</v>
      </c>
      <c r="D616" s="162" t="s">
        <v>282</v>
      </c>
      <c r="E616" s="222">
        <v>8</v>
      </c>
      <c r="F616" s="162" t="s">
        <v>283</v>
      </c>
    </row>
    <row r="617" spans="2:6" x14ac:dyDescent="0.25">
      <c r="B617" s="230"/>
      <c r="C617" s="5"/>
      <c r="D617" s="5"/>
      <c r="E617" s="5"/>
      <c r="F617" s="5"/>
    </row>
    <row r="618" spans="2:6" x14ac:dyDescent="0.25">
      <c r="B618" s="215" t="s">
        <v>284</v>
      </c>
      <c r="C618" s="216" t="s">
        <v>285</v>
      </c>
      <c r="D618" s="5"/>
      <c r="E618" s="5"/>
      <c r="F618" s="5"/>
    </row>
    <row r="619" spans="2:6" x14ac:dyDescent="0.25">
      <c r="B619" s="218"/>
      <c r="C619" s="235" t="s">
        <v>237</v>
      </c>
      <c r="D619" s="236"/>
      <c r="E619" s="235" t="s">
        <v>238</v>
      </c>
      <c r="F619" s="236"/>
    </row>
    <row r="620" spans="2:6" x14ac:dyDescent="0.25">
      <c r="B620" s="221" t="s">
        <v>23</v>
      </c>
      <c r="C620" s="442" t="s">
        <v>117</v>
      </c>
      <c r="D620" s="161" t="s">
        <v>26</v>
      </c>
      <c r="E620" s="442" t="s">
        <v>117</v>
      </c>
      <c r="F620" s="161" t="s">
        <v>26</v>
      </c>
    </row>
    <row r="621" spans="2:6" x14ac:dyDescent="0.25">
      <c r="B621" s="220" t="s">
        <v>82</v>
      </c>
      <c r="C621" s="5">
        <v>11</v>
      </c>
      <c r="D621" s="151"/>
      <c r="E621" s="5">
        <v>0</v>
      </c>
      <c r="F621" s="151"/>
    </row>
    <row r="622" spans="2:6" x14ac:dyDescent="0.25">
      <c r="B622" s="220">
        <v>2</v>
      </c>
      <c r="C622" s="5">
        <v>9</v>
      </c>
      <c r="D622" s="151"/>
      <c r="E622" s="5">
        <v>0</v>
      </c>
      <c r="F622" s="151"/>
    </row>
    <row r="623" spans="2:6" x14ac:dyDescent="0.25">
      <c r="B623" s="221" t="s">
        <v>124</v>
      </c>
      <c r="C623" s="222">
        <v>3</v>
      </c>
      <c r="D623" s="162"/>
      <c r="E623" s="222">
        <v>9</v>
      </c>
      <c r="F623" s="162" t="s">
        <v>286</v>
      </c>
    </row>
    <row r="624" spans="2:6" x14ac:dyDescent="0.25">
      <c r="B624" s="230"/>
      <c r="C624" s="5"/>
      <c r="D624" s="5"/>
      <c r="E624" s="5"/>
      <c r="F624" s="5"/>
    </row>
    <row r="625" spans="2:7" x14ac:dyDescent="0.25">
      <c r="B625" s="215" t="s">
        <v>287</v>
      </c>
      <c r="C625" s="216" t="s">
        <v>288</v>
      </c>
      <c r="D625" s="5"/>
      <c r="E625" s="5"/>
      <c r="F625" s="5"/>
    </row>
    <row r="626" spans="2:7" x14ac:dyDescent="0.25">
      <c r="B626" s="218"/>
      <c r="C626" s="235" t="s">
        <v>237</v>
      </c>
      <c r="D626" s="236"/>
      <c r="E626" s="235" t="s">
        <v>238</v>
      </c>
      <c r="F626" s="236"/>
    </row>
    <row r="627" spans="2:7" x14ac:dyDescent="0.25">
      <c r="B627" s="221" t="s">
        <v>23</v>
      </c>
      <c r="C627" s="442" t="s">
        <v>117</v>
      </c>
      <c r="D627" s="161" t="s">
        <v>26</v>
      </c>
      <c r="E627" s="442" t="s">
        <v>117</v>
      </c>
      <c r="F627" s="161" t="s">
        <v>26</v>
      </c>
    </row>
    <row r="628" spans="2:7" x14ac:dyDescent="0.25">
      <c r="B628" s="218" t="s">
        <v>235</v>
      </c>
      <c r="C628" s="5">
        <v>0</v>
      </c>
      <c r="D628" s="151"/>
      <c r="E628" s="150">
        <v>0</v>
      </c>
      <c r="F628" s="151"/>
    </row>
    <row r="629" spans="2:7" x14ac:dyDescent="0.25">
      <c r="B629" s="220">
        <v>4</v>
      </c>
      <c r="C629" s="5">
        <v>0</v>
      </c>
      <c r="D629" s="151"/>
      <c r="E629" s="150">
        <v>0</v>
      </c>
      <c r="F629" s="151"/>
    </row>
    <row r="630" spans="2:7" x14ac:dyDescent="0.25">
      <c r="B630" s="220">
        <v>8</v>
      </c>
      <c r="C630" s="5">
        <v>22</v>
      </c>
      <c r="D630" s="151"/>
      <c r="E630" s="150">
        <v>9</v>
      </c>
      <c r="F630" s="151"/>
    </row>
    <row r="631" spans="2:7" x14ac:dyDescent="0.25">
      <c r="B631" s="220">
        <v>16</v>
      </c>
      <c r="C631" s="5">
        <v>0</v>
      </c>
      <c r="D631" s="151"/>
      <c r="E631" s="150">
        <v>0</v>
      </c>
      <c r="F631" s="151"/>
    </row>
    <row r="632" spans="2:7" x14ac:dyDescent="0.25">
      <c r="B632" s="221" t="s">
        <v>139</v>
      </c>
      <c r="C632" s="222">
        <v>1</v>
      </c>
      <c r="D632" s="162" t="s">
        <v>289</v>
      </c>
      <c r="E632" s="163">
        <v>0</v>
      </c>
      <c r="F632" s="162"/>
    </row>
    <row r="633" spans="2:7" x14ac:dyDescent="0.25">
      <c r="B633" s="230"/>
      <c r="C633" s="5"/>
      <c r="D633" s="5"/>
      <c r="E633" s="5"/>
      <c r="F633" s="5"/>
    </row>
    <row r="634" spans="2:7" x14ac:dyDescent="0.25">
      <c r="B634" s="215" t="s">
        <v>290</v>
      </c>
      <c r="C634" s="216" t="s">
        <v>291</v>
      </c>
      <c r="D634" s="5"/>
      <c r="E634" s="5"/>
      <c r="F634" s="5"/>
    </row>
    <row r="635" spans="2:7" x14ac:dyDescent="0.25">
      <c r="B635" s="218"/>
      <c r="C635" s="235" t="s">
        <v>237</v>
      </c>
      <c r="D635" s="236"/>
      <c r="E635" s="235" t="s">
        <v>238</v>
      </c>
      <c r="F635" s="236"/>
    </row>
    <row r="636" spans="2:7" x14ac:dyDescent="0.25">
      <c r="B636" s="221" t="s">
        <v>23</v>
      </c>
      <c r="C636" s="442" t="s">
        <v>117</v>
      </c>
      <c r="D636" s="161" t="s">
        <v>26</v>
      </c>
      <c r="E636" s="442" t="s">
        <v>117</v>
      </c>
      <c r="F636" s="161" t="s">
        <v>26</v>
      </c>
    </row>
    <row r="637" spans="2:7" x14ac:dyDescent="0.25">
      <c r="B637" s="450" t="s">
        <v>292</v>
      </c>
      <c r="C637" s="5">
        <v>19</v>
      </c>
      <c r="D637" s="151"/>
      <c r="E637" s="5">
        <v>3</v>
      </c>
      <c r="F637" s="151" t="s">
        <v>293</v>
      </c>
      <c r="G637" s="12"/>
    </row>
    <row r="638" spans="2:7" x14ac:dyDescent="0.25">
      <c r="B638" s="221" t="s">
        <v>294</v>
      </c>
      <c r="C638" s="222">
        <v>4</v>
      </c>
      <c r="D638" s="162" t="s">
        <v>293</v>
      </c>
      <c r="E638" s="222">
        <v>6</v>
      </c>
      <c r="F638" s="162" t="s">
        <v>295</v>
      </c>
    </row>
    <row r="639" spans="2:7" x14ac:dyDescent="0.25">
      <c r="B639" s="230"/>
      <c r="C639" s="5"/>
      <c r="D639" s="5"/>
      <c r="E639" s="5"/>
      <c r="F639" s="5"/>
    </row>
    <row r="640" spans="2:7" x14ac:dyDescent="0.25">
      <c r="B640" s="215" t="s">
        <v>296</v>
      </c>
      <c r="C640" s="216" t="s">
        <v>297</v>
      </c>
      <c r="D640" s="5"/>
      <c r="E640" s="5"/>
      <c r="F640" s="5"/>
    </row>
    <row r="641" spans="2:7" x14ac:dyDescent="0.25">
      <c r="B641" s="218"/>
      <c r="C641" s="235" t="s">
        <v>237</v>
      </c>
      <c r="D641" s="236"/>
      <c r="E641" s="235" t="s">
        <v>238</v>
      </c>
      <c r="F641" s="236"/>
    </row>
    <row r="642" spans="2:7" x14ac:dyDescent="0.25">
      <c r="B642" s="221" t="s">
        <v>23</v>
      </c>
      <c r="C642" s="442" t="s">
        <v>117</v>
      </c>
      <c r="D642" s="161" t="s">
        <v>26</v>
      </c>
      <c r="E642" s="442" t="s">
        <v>117</v>
      </c>
      <c r="F642" s="161" t="s">
        <v>26</v>
      </c>
    </row>
    <row r="643" spans="2:7" x14ac:dyDescent="0.25">
      <c r="B643" s="450" t="s">
        <v>298</v>
      </c>
      <c r="C643" s="5">
        <v>18</v>
      </c>
      <c r="D643" s="151" t="s">
        <v>299</v>
      </c>
      <c r="E643" s="5">
        <v>3</v>
      </c>
      <c r="F643" s="151" t="s">
        <v>293</v>
      </c>
      <c r="G643" s="12"/>
    </row>
    <row r="644" spans="2:7" x14ac:dyDescent="0.25">
      <c r="B644" s="221" t="s">
        <v>300</v>
      </c>
      <c r="C644" s="222">
        <v>5</v>
      </c>
      <c r="D644" s="162" t="s">
        <v>301</v>
      </c>
      <c r="E644" s="222">
        <v>6</v>
      </c>
      <c r="F644" s="162" t="s">
        <v>302</v>
      </c>
    </row>
    <row r="645" spans="2:7" x14ac:dyDescent="0.25">
      <c r="B645" s="230"/>
      <c r="C645" s="5"/>
      <c r="D645" s="5"/>
      <c r="E645" s="5"/>
      <c r="F645" s="5"/>
    </row>
    <row r="646" spans="2:7" x14ac:dyDescent="0.25">
      <c r="B646" s="215" t="s">
        <v>303</v>
      </c>
      <c r="C646" s="216" t="s">
        <v>304</v>
      </c>
      <c r="D646" s="5"/>
      <c r="E646" s="5"/>
      <c r="F646" s="5"/>
    </row>
    <row r="647" spans="2:7" x14ac:dyDescent="0.25">
      <c r="B647" s="218"/>
      <c r="C647" s="235" t="s">
        <v>237</v>
      </c>
      <c r="D647" s="236"/>
      <c r="E647" s="235" t="s">
        <v>238</v>
      </c>
      <c r="F647" s="236"/>
    </row>
    <row r="648" spans="2:7" x14ac:dyDescent="0.25">
      <c r="B648" s="221" t="s">
        <v>23</v>
      </c>
      <c r="C648" s="440" t="s">
        <v>117</v>
      </c>
      <c r="D648" s="441" t="s">
        <v>26</v>
      </c>
      <c r="E648" s="440" t="s">
        <v>117</v>
      </c>
      <c r="F648" s="441" t="s">
        <v>26</v>
      </c>
    </row>
    <row r="649" spans="2:7" x14ac:dyDescent="0.25">
      <c r="B649" s="218" t="s">
        <v>123</v>
      </c>
      <c r="C649" s="5">
        <v>0</v>
      </c>
      <c r="D649" s="151"/>
      <c r="E649" s="5">
        <v>0</v>
      </c>
      <c r="F649" s="151"/>
    </row>
    <row r="650" spans="2:7" x14ac:dyDescent="0.25">
      <c r="B650" s="220">
        <v>0.5</v>
      </c>
      <c r="C650" s="5">
        <v>0</v>
      </c>
      <c r="D650" s="151"/>
      <c r="E650" s="5">
        <v>0</v>
      </c>
      <c r="F650" s="151"/>
    </row>
    <row r="651" spans="2:7" x14ac:dyDescent="0.25">
      <c r="B651" s="220">
        <v>1</v>
      </c>
      <c r="C651" s="5">
        <v>0</v>
      </c>
      <c r="D651" s="151"/>
      <c r="E651" s="5">
        <v>0</v>
      </c>
      <c r="F651" s="151"/>
    </row>
    <row r="652" spans="2:7" x14ac:dyDescent="0.25">
      <c r="B652" s="220">
        <v>2</v>
      </c>
      <c r="C652" s="5">
        <v>0</v>
      </c>
      <c r="D652" s="151"/>
      <c r="E652" s="5">
        <v>0</v>
      </c>
      <c r="F652" s="151"/>
    </row>
    <row r="653" spans="2:7" x14ac:dyDescent="0.25">
      <c r="B653" s="220">
        <v>4</v>
      </c>
      <c r="C653" s="5">
        <v>0</v>
      </c>
      <c r="D653" s="151"/>
      <c r="E653" s="5">
        <v>0</v>
      </c>
      <c r="F653" s="151"/>
    </row>
    <row r="654" spans="2:7" x14ac:dyDescent="0.25">
      <c r="B654" s="221" t="s">
        <v>119</v>
      </c>
      <c r="C654" s="222">
        <v>23</v>
      </c>
      <c r="D654" s="162"/>
      <c r="E654" s="222">
        <v>9</v>
      </c>
      <c r="F654" s="162"/>
    </row>
    <row r="655" spans="2:7" x14ac:dyDescent="0.25">
      <c r="B655" s="230"/>
      <c r="C655" s="5"/>
      <c r="D655" s="5"/>
      <c r="E655" s="5"/>
      <c r="F655" s="5"/>
    </row>
    <row r="656" spans="2:7" x14ac:dyDescent="0.25">
      <c r="B656" s="215" t="s">
        <v>290</v>
      </c>
      <c r="C656" s="216" t="s">
        <v>305</v>
      </c>
      <c r="D656" s="5"/>
      <c r="E656" s="5"/>
      <c r="F656" s="5"/>
    </row>
    <row r="657" spans="2:6" x14ac:dyDescent="0.25">
      <c r="B657" s="218"/>
      <c r="C657" s="235" t="s">
        <v>237</v>
      </c>
      <c r="D657" s="236"/>
      <c r="E657" s="235" t="s">
        <v>238</v>
      </c>
      <c r="F657" s="236"/>
    </row>
    <row r="658" spans="2:6" x14ac:dyDescent="0.25">
      <c r="B658" s="221" t="s">
        <v>23</v>
      </c>
      <c r="C658" s="222" t="s">
        <v>117</v>
      </c>
      <c r="D658" s="162" t="s">
        <v>26</v>
      </c>
      <c r="E658" s="222" t="s">
        <v>117</v>
      </c>
      <c r="F658" s="162" t="s">
        <v>26</v>
      </c>
    </row>
    <row r="659" spans="2:6" x14ac:dyDescent="0.25">
      <c r="B659" s="218" t="s">
        <v>235</v>
      </c>
      <c r="C659" s="5">
        <v>0</v>
      </c>
      <c r="D659" s="151"/>
      <c r="E659" s="5">
        <v>1</v>
      </c>
      <c r="F659" s="151" t="s">
        <v>306</v>
      </c>
    </row>
    <row r="660" spans="2:6" x14ac:dyDescent="0.25">
      <c r="B660" s="220">
        <v>4</v>
      </c>
      <c r="C660" s="5">
        <v>0</v>
      </c>
      <c r="D660" s="151"/>
      <c r="E660" s="5">
        <v>1</v>
      </c>
      <c r="F660" s="151" t="s">
        <v>306</v>
      </c>
    </row>
    <row r="661" spans="2:6" x14ac:dyDescent="0.25">
      <c r="B661" s="220">
        <v>8</v>
      </c>
      <c r="C661" s="5">
        <v>11</v>
      </c>
      <c r="D661" s="151"/>
      <c r="E661" s="5">
        <v>1</v>
      </c>
      <c r="F661" s="151" t="s">
        <v>307</v>
      </c>
    </row>
    <row r="662" spans="2:6" x14ac:dyDescent="0.25">
      <c r="B662" s="220">
        <v>16</v>
      </c>
      <c r="C662" s="5">
        <v>6</v>
      </c>
      <c r="D662" s="151"/>
      <c r="E662" s="5">
        <v>0</v>
      </c>
      <c r="F662" s="151"/>
    </row>
    <row r="663" spans="2:6" x14ac:dyDescent="0.25">
      <c r="B663" s="221" t="s">
        <v>139</v>
      </c>
      <c r="C663" s="222">
        <v>6</v>
      </c>
      <c r="D663" s="162" t="s">
        <v>308</v>
      </c>
      <c r="E663" s="222">
        <v>6</v>
      </c>
      <c r="F663" s="162" t="s">
        <v>309</v>
      </c>
    </row>
    <row r="664" spans="2:6" x14ac:dyDescent="0.25">
      <c r="B664" s="230"/>
      <c r="C664" s="5"/>
      <c r="D664" s="5"/>
      <c r="E664" s="5"/>
      <c r="F664" s="5"/>
    </row>
    <row r="665" spans="2:6" x14ac:dyDescent="0.25">
      <c r="B665" s="215" t="s">
        <v>310</v>
      </c>
      <c r="C665" s="385" t="s">
        <v>311</v>
      </c>
      <c r="D665" s="5"/>
      <c r="E665" s="5"/>
      <c r="F665" s="5"/>
    </row>
    <row r="666" spans="2:6" x14ac:dyDescent="0.25">
      <c r="B666" s="218"/>
      <c r="C666" s="235" t="s">
        <v>237</v>
      </c>
      <c r="D666" s="236"/>
      <c r="E666" s="235" t="s">
        <v>238</v>
      </c>
      <c r="F666" s="236"/>
    </row>
    <row r="667" spans="2:6" x14ac:dyDescent="0.25">
      <c r="B667" s="221" t="s">
        <v>23</v>
      </c>
      <c r="C667" s="222" t="s">
        <v>117</v>
      </c>
      <c r="D667" s="162" t="s">
        <v>26</v>
      </c>
      <c r="E667" s="222" t="s">
        <v>117</v>
      </c>
      <c r="F667" s="162" t="s">
        <v>26</v>
      </c>
    </row>
    <row r="668" spans="2:6" x14ac:dyDescent="0.25">
      <c r="B668" s="218" t="s">
        <v>223</v>
      </c>
      <c r="C668" s="5">
        <v>0</v>
      </c>
      <c r="D668" s="151"/>
      <c r="E668" s="5">
        <v>0</v>
      </c>
      <c r="F668" s="151"/>
    </row>
    <row r="669" spans="2:6" x14ac:dyDescent="0.25">
      <c r="B669" s="220">
        <v>0.12</v>
      </c>
      <c r="C669" s="5">
        <v>0</v>
      </c>
      <c r="D669" s="151"/>
      <c r="E669" s="5">
        <v>0</v>
      </c>
      <c r="F669" s="151"/>
    </row>
    <row r="670" spans="2:6" x14ac:dyDescent="0.25">
      <c r="B670" s="220">
        <v>0.25</v>
      </c>
      <c r="C670" s="5">
        <v>0</v>
      </c>
      <c r="D670" s="151"/>
      <c r="E670" s="5">
        <v>0</v>
      </c>
      <c r="F670" s="151"/>
    </row>
    <row r="671" spans="2:6" x14ac:dyDescent="0.25">
      <c r="B671" s="220">
        <v>0.5</v>
      </c>
      <c r="C671" s="5">
        <v>0</v>
      </c>
      <c r="D671" s="151"/>
      <c r="E671" s="5">
        <v>0</v>
      </c>
      <c r="F671" s="151"/>
    </row>
    <row r="672" spans="2:6" x14ac:dyDescent="0.25">
      <c r="B672" s="220">
        <v>1</v>
      </c>
      <c r="C672" s="5">
        <v>0</v>
      </c>
      <c r="D672" s="151"/>
      <c r="E672" s="5">
        <v>0</v>
      </c>
      <c r="F672" s="151"/>
    </row>
    <row r="673" spans="2:7" x14ac:dyDescent="0.25">
      <c r="B673" s="220">
        <v>2</v>
      </c>
      <c r="C673" s="5">
        <v>0</v>
      </c>
      <c r="D673" s="151"/>
      <c r="E673" s="5">
        <v>0</v>
      </c>
      <c r="F673" s="151"/>
    </row>
    <row r="674" spans="2:7" x14ac:dyDescent="0.25">
      <c r="B674" s="220">
        <v>4</v>
      </c>
      <c r="C674" s="5">
        <v>23</v>
      </c>
      <c r="D674" s="151"/>
      <c r="E674" s="5">
        <v>0</v>
      </c>
      <c r="F674" s="151"/>
    </row>
    <row r="675" spans="2:7" x14ac:dyDescent="0.25">
      <c r="B675" s="220">
        <v>8</v>
      </c>
      <c r="C675" s="5">
        <v>0</v>
      </c>
      <c r="D675" s="151"/>
      <c r="E675" s="5">
        <v>0</v>
      </c>
      <c r="F675" s="151"/>
    </row>
    <row r="676" spans="2:7" x14ac:dyDescent="0.25">
      <c r="B676" s="221" t="s">
        <v>61</v>
      </c>
      <c r="C676" s="222">
        <v>0</v>
      </c>
      <c r="D676" s="162"/>
      <c r="E676" s="222">
        <v>9</v>
      </c>
      <c r="F676" s="162"/>
    </row>
    <row r="677" spans="2:7" x14ac:dyDescent="0.25">
      <c r="B677" s="78"/>
    </row>
    <row r="678" spans="2:7" x14ac:dyDescent="0.25">
      <c r="B678" s="78"/>
    </row>
    <row r="681" spans="2:7" s="7" customFormat="1" ht="18.75" x14ac:dyDescent="0.3">
      <c r="B681" s="8" t="s">
        <v>312</v>
      </c>
    </row>
    <row r="682" spans="2:7" x14ac:dyDescent="0.25">
      <c r="B682" t="s">
        <v>313</v>
      </c>
    </row>
    <row r="684" spans="2:7" ht="19.5" thickBot="1" x14ac:dyDescent="0.35">
      <c r="B684" s="15" t="s">
        <v>314</v>
      </c>
      <c r="C684" s="16"/>
      <c r="D684" s="12"/>
      <c r="E684" s="15"/>
      <c r="F684" s="15"/>
      <c r="G684" s="15"/>
    </row>
    <row r="685" spans="2:7" x14ac:dyDescent="0.25">
      <c r="B685" s="20" t="s">
        <v>22</v>
      </c>
      <c r="C685" s="21" t="s">
        <v>23</v>
      </c>
      <c r="D685" s="21" t="s">
        <v>24</v>
      </c>
      <c r="E685" s="21" t="s">
        <v>25</v>
      </c>
      <c r="F685" s="22" t="s">
        <v>26</v>
      </c>
      <c r="G685" s="23" t="s">
        <v>27</v>
      </c>
    </row>
    <row r="686" spans="2:7" x14ac:dyDescent="0.25">
      <c r="B686" s="263" t="s">
        <v>29</v>
      </c>
      <c r="C686" s="364" t="s">
        <v>103</v>
      </c>
      <c r="D686" s="451">
        <v>4</v>
      </c>
      <c r="E686" s="452">
        <v>0</v>
      </c>
      <c r="F686" s="367"/>
      <c r="G686" s="266">
        <v>5</v>
      </c>
    </row>
    <row r="687" spans="2:7" x14ac:dyDescent="0.25">
      <c r="B687" s="269"/>
      <c r="C687" s="264">
        <v>0.06</v>
      </c>
      <c r="D687" s="453">
        <v>1</v>
      </c>
      <c r="E687" s="454">
        <v>0</v>
      </c>
      <c r="F687" s="338"/>
      <c r="G687" s="271"/>
    </row>
    <row r="688" spans="2:7" x14ac:dyDescent="0.25">
      <c r="B688" s="274"/>
      <c r="C688" s="256">
        <v>0.12</v>
      </c>
      <c r="D688" s="455">
        <v>0</v>
      </c>
      <c r="E688" s="456">
        <v>0</v>
      </c>
      <c r="F688" s="369"/>
      <c r="G688" s="277"/>
    </row>
    <row r="689" spans="2:14" x14ac:dyDescent="0.25">
      <c r="B689" s="263" t="s">
        <v>32</v>
      </c>
      <c r="C689" s="264">
        <v>0.25</v>
      </c>
      <c r="D689" s="457">
        <v>0</v>
      </c>
      <c r="E689" s="458">
        <v>0</v>
      </c>
      <c r="F689" s="359"/>
      <c r="G689" s="266">
        <v>0</v>
      </c>
    </row>
    <row r="690" spans="2:14" x14ac:dyDescent="0.25">
      <c r="B690" s="269"/>
      <c r="C690" s="358">
        <v>0.5</v>
      </c>
      <c r="D690" s="458">
        <v>0</v>
      </c>
      <c r="E690" s="458">
        <v>0</v>
      </c>
      <c r="F690" s="359"/>
      <c r="G690" s="271"/>
    </row>
    <row r="691" spans="2:14" x14ac:dyDescent="0.25">
      <c r="B691" s="269"/>
      <c r="C691" s="264">
        <v>1</v>
      </c>
      <c r="D691" s="458">
        <v>0</v>
      </c>
      <c r="E691" s="458">
        <v>0</v>
      </c>
      <c r="F691" s="359"/>
      <c r="G691" s="271"/>
    </row>
    <row r="692" spans="2:14" x14ac:dyDescent="0.25">
      <c r="B692" s="269"/>
      <c r="C692" s="358">
        <v>2</v>
      </c>
      <c r="D692" s="458">
        <v>0</v>
      </c>
      <c r="E692" s="458">
        <v>0</v>
      </c>
      <c r="F692" s="359"/>
      <c r="G692" s="271"/>
    </row>
    <row r="693" spans="2:14" x14ac:dyDescent="0.25">
      <c r="B693" s="269"/>
      <c r="C693" s="264">
        <v>4</v>
      </c>
      <c r="D693" s="458">
        <v>0</v>
      </c>
      <c r="E693" s="458">
        <v>0</v>
      </c>
      <c r="F693" s="359"/>
      <c r="G693" s="271"/>
    </row>
    <row r="694" spans="2:14" x14ac:dyDescent="0.25">
      <c r="B694" s="274"/>
      <c r="C694" s="256" t="s">
        <v>33</v>
      </c>
      <c r="D694" s="459">
        <v>0</v>
      </c>
      <c r="E694" s="460">
        <v>0</v>
      </c>
      <c r="F694" s="372"/>
      <c r="G694" s="277"/>
    </row>
    <row r="695" spans="2:14" ht="15.75" thickBot="1" x14ac:dyDescent="0.3">
      <c r="B695" s="284"/>
      <c r="C695" s="285"/>
      <c r="D695" s="461">
        <v>5</v>
      </c>
      <c r="E695" s="461">
        <v>0</v>
      </c>
      <c r="F695" s="349"/>
      <c r="G695" s="287">
        <v>5</v>
      </c>
    </row>
    <row r="696" spans="2:14" x14ac:dyDescent="0.25">
      <c r="C696" s="78"/>
      <c r="D696" s="397"/>
      <c r="E696" s="397"/>
    </row>
    <row r="697" spans="2:14" ht="19.5" thickBot="1" x14ac:dyDescent="0.35">
      <c r="B697" s="9" t="s">
        <v>315</v>
      </c>
      <c r="C697" s="462"/>
      <c r="D697" s="12"/>
      <c r="E697" s="397"/>
    </row>
    <row r="698" spans="2:14" x14ac:dyDescent="0.25">
      <c r="B698" s="20" t="s">
        <v>22</v>
      </c>
      <c r="C698" s="21" t="s">
        <v>23</v>
      </c>
      <c r="D698" s="21" t="s">
        <v>24</v>
      </c>
      <c r="E698" s="21" t="s">
        <v>25</v>
      </c>
      <c r="F698" s="22" t="s">
        <v>26</v>
      </c>
      <c r="G698" s="23" t="s">
        <v>27</v>
      </c>
    </row>
    <row r="699" spans="2:14" x14ac:dyDescent="0.25">
      <c r="B699" s="463" t="s">
        <v>29</v>
      </c>
      <c r="C699" s="464" t="s">
        <v>123</v>
      </c>
      <c r="D699" s="465">
        <v>5</v>
      </c>
      <c r="E699" s="466">
        <v>0</v>
      </c>
      <c r="F699" s="467"/>
      <c r="G699" s="468">
        <v>5</v>
      </c>
    </row>
    <row r="700" spans="2:14" x14ac:dyDescent="0.25">
      <c r="B700" s="29" t="s">
        <v>32</v>
      </c>
      <c r="C700" s="30">
        <v>0.5</v>
      </c>
      <c r="D700" s="433">
        <v>0</v>
      </c>
      <c r="E700" s="433">
        <v>0</v>
      </c>
      <c r="F700" s="41"/>
      <c r="G700" s="109">
        <v>0</v>
      </c>
    </row>
    <row r="701" spans="2:14" x14ac:dyDescent="0.25">
      <c r="B701" s="42"/>
      <c r="C701" s="30">
        <v>1</v>
      </c>
      <c r="D701" s="433">
        <v>0</v>
      </c>
      <c r="E701" s="433">
        <v>0</v>
      </c>
      <c r="F701" s="41"/>
      <c r="G701" s="172"/>
      <c r="I701" s="418"/>
      <c r="J701" s="359"/>
      <c r="K701" s="359"/>
      <c r="L701" s="359"/>
      <c r="M701" s="359"/>
      <c r="N701" s="469"/>
    </row>
    <row r="702" spans="2:14" x14ac:dyDescent="0.25">
      <c r="B702" s="42"/>
      <c r="C702" s="30">
        <v>2</v>
      </c>
      <c r="D702" s="433">
        <v>0</v>
      </c>
      <c r="E702" s="433">
        <v>0</v>
      </c>
      <c r="F702" s="41"/>
      <c r="G702" s="172"/>
      <c r="I702" s="418"/>
      <c r="J702" s="359"/>
      <c r="K702" s="359"/>
      <c r="L702" s="359"/>
      <c r="M702" s="359"/>
      <c r="N702" s="469"/>
    </row>
    <row r="703" spans="2:14" x14ac:dyDescent="0.25">
      <c r="B703" s="47"/>
      <c r="C703" s="48" t="s">
        <v>124</v>
      </c>
      <c r="D703" s="435">
        <v>0</v>
      </c>
      <c r="E703" s="435">
        <v>0</v>
      </c>
      <c r="F703" s="59"/>
      <c r="G703" s="115"/>
      <c r="I703" s="418"/>
      <c r="J703" s="359"/>
      <c r="K703" s="359"/>
      <c r="L703" s="359"/>
      <c r="M703" s="359"/>
      <c r="N703" s="469"/>
    </row>
    <row r="704" spans="2:14" ht="15.75" thickBot="1" x14ac:dyDescent="0.3">
      <c r="B704" s="70"/>
      <c r="C704" s="71"/>
      <c r="D704" s="470">
        <v>5</v>
      </c>
      <c r="E704" s="470">
        <v>0</v>
      </c>
      <c r="F704" s="173"/>
      <c r="G704" s="138">
        <v>5</v>
      </c>
      <c r="I704" s="418"/>
      <c r="J704" s="359"/>
      <c r="K704" s="359"/>
      <c r="L704" s="359"/>
      <c r="M704" s="359"/>
      <c r="N704" s="469"/>
    </row>
    <row r="705" spans="2:14" x14ac:dyDescent="0.25">
      <c r="C705" s="78"/>
      <c r="D705" s="397"/>
      <c r="E705" s="397"/>
      <c r="I705" s="418"/>
      <c r="J705" s="359"/>
      <c r="K705" s="359"/>
      <c r="L705" s="359"/>
      <c r="M705" s="359"/>
      <c r="N705" s="469"/>
    </row>
    <row r="706" spans="2:14" ht="19.5" thickBot="1" x14ac:dyDescent="0.35">
      <c r="B706" s="15" t="s">
        <v>316</v>
      </c>
      <c r="C706" s="85"/>
      <c r="D706" s="12"/>
      <c r="E706" s="471"/>
      <c r="F706" s="15"/>
      <c r="G706" s="15"/>
      <c r="H706" s="9"/>
    </row>
    <row r="707" spans="2:14" x14ac:dyDescent="0.25">
      <c r="B707" s="20" t="s">
        <v>22</v>
      </c>
      <c r="C707" s="21" t="s">
        <v>23</v>
      </c>
      <c r="D707" s="21" t="s">
        <v>24</v>
      </c>
      <c r="E707" s="21" t="s">
        <v>25</v>
      </c>
      <c r="F707" s="22" t="s">
        <v>26</v>
      </c>
      <c r="G707" s="23" t="s">
        <v>27</v>
      </c>
      <c r="H707" s="242"/>
    </row>
    <row r="708" spans="2:14" x14ac:dyDescent="0.25">
      <c r="B708" s="263" t="s">
        <v>29</v>
      </c>
      <c r="C708" s="264" t="s">
        <v>46</v>
      </c>
      <c r="D708" s="453">
        <v>5</v>
      </c>
      <c r="E708" s="454">
        <v>0</v>
      </c>
      <c r="F708" s="338"/>
      <c r="G708" s="266">
        <v>5</v>
      </c>
      <c r="H708" s="242"/>
    </row>
    <row r="709" spans="2:14" x14ac:dyDescent="0.25">
      <c r="B709" s="274"/>
      <c r="C709" s="371">
        <v>1</v>
      </c>
      <c r="D709" s="455">
        <v>0</v>
      </c>
      <c r="E709" s="456">
        <v>0</v>
      </c>
      <c r="F709" s="369"/>
      <c r="G709" s="277"/>
      <c r="H709" s="242"/>
    </row>
    <row r="710" spans="2:14" x14ac:dyDescent="0.25">
      <c r="B710" s="263" t="s">
        <v>32</v>
      </c>
      <c r="C710" s="264">
        <v>2</v>
      </c>
      <c r="D710" s="457">
        <v>0</v>
      </c>
      <c r="E710" s="458">
        <v>0</v>
      </c>
      <c r="F710" s="359"/>
      <c r="G710" s="266">
        <v>0</v>
      </c>
      <c r="H710" s="242"/>
    </row>
    <row r="711" spans="2:14" x14ac:dyDescent="0.25">
      <c r="B711" s="269"/>
      <c r="C711" s="264">
        <v>4</v>
      </c>
      <c r="D711" s="458">
        <v>0</v>
      </c>
      <c r="E711" s="458">
        <v>0</v>
      </c>
      <c r="F711" s="359"/>
      <c r="G711" s="271"/>
      <c r="H711" s="242"/>
    </row>
    <row r="712" spans="2:14" x14ac:dyDescent="0.25">
      <c r="B712" s="274"/>
      <c r="C712" s="256" t="s">
        <v>33</v>
      </c>
      <c r="D712" s="459">
        <v>0</v>
      </c>
      <c r="E712" s="460">
        <v>0</v>
      </c>
      <c r="F712" s="372"/>
      <c r="G712" s="277"/>
      <c r="H712" s="242"/>
    </row>
    <row r="713" spans="2:14" ht="15.75" thickBot="1" x14ac:dyDescent="0.3">
      <c r="B713" s="284"/>
      <c r="C713" s="285"/>
      <c r="D713" s="461">
        <v>5</v>
      </c>
      <c r="E713" s="461">
        <v>0</v>
      </c>
      <c r="F713" s="349"/>
      <c r="G713" s="287">
        <v>5</v>
      </c>
      <c r="H713" s="242"/>
    </row>
    <row r="714" spans="2:14" x14ac:dyDescent="0.25">
      <c r="D714" s="397"/>
      <c r="E714" s="397"/>
      <c r="H714" s="242"/>
    </row>
    <row r="715" spans="2:14" x14ac:dyDescent="0.25">
      <c r="H715" s="242"/>
    </row>
    <row r="716" spans="2:14" ht="18.75" x14ac:dyDescent="0.3">
      <c r="B716" s="9" t="s">
        <v>317</v>
      </c>
      <c r="G716" s="12"/>
      <c r="H716" s="242"/>
    </row>
    <row r="717" spans="2:14" x14ac:dyDescent="0.25">
      <c r="B717" s="25"/>
      <c r="C717" s="26" t="s">
        <v>24</v>
      </c>
      <c r="D717" s="27" t="s">
        <v>25</v>
      </c>
      <c r="E717" s="27" t="s">
        <v>27</v>
      </c>
      <c r="F717" s="28" t="s">
        <v>28</v>
      </c>
      <c r="H717" s="242"/>
    </row>
    <row r="718" spans="2:14" x14ac:dyDescent="0.25">
      <c r="B718" s="38" t="s">
        <v>109</v>
      </c>
      <c r="C718" s="39">
        <v>15</v>
      </c>
      <c r="D718" s="40">
        <v>0</v>
      </c>
      <c r="E718" s="32">
        <f>SUM(C718,D718)</f>
        <v>15</v>
      </c>
      <c r="F718" s="41">
        <f>E718/E720*100</f>
        <v>100</v>
      </c>
      <c r="H718" s="242"/>
    </row>
    <row r="719" spans="2:14" x14ac:dyDescent="0.25">
      <c r="B719" s="56" t="s">
        <v>110</v>
      </c>
      <c r="C719" s="57">
        <v>0</v>
      </c>
      <c r="D719" s="58">
        <v>0</v>
      </c>
      <c r="E719" s="50">
        <f>SUM(C719,D719)</f>
        <v>0</v>
      </c>
      <c r="F719" s="59">
        <f>E719/E720*100</f>
        <v>0</v>
      </c>
      <c r="H719" s="242"/>
    </row>
    <row r="720" spans="2:14" x14ac:dyDescent="0.25">
      <c r="B720" s="56" t="s">
        <v>27</v>
      </c>
      <c r="C720" s="64">
        <f>SUM(C718,C719)</f>
        <v>15</v>
      </c>
      <c r="D720" s="50">
        <f>SUM(D718,D719)</f>
        <v>0</v>
      </c>
      <c r="E720" s="50">
        <f>SUM(C718:D719)</f>
        <v>15</v>
      </c>
      <c r="F720" s="59"/>
      <c r="H720" s="242"/>
    </row>
    <row r="721" spans="2:8" x14ac:dyDescent="0.25">
      <c r="B721" s="56" t="s">
        <v>28</v>
      </c>
      <c r="C721" s="64">
        <f>C720/E720*100</f>
        <v>100</v>
      </c>
      <c r="D721" s="59">
        <f>D720/E720*100</f>
        <v>0</v>
      </c>
      <c r="E721" s="59"/>
      <c r="F721" s="59"/>
      <c r="H721" s="242"/>
    </row>
    <row r="722" spans="2:8" x14ac:dyDescent="0.25">
      <c r="H722" s="242"/>
    </row>
    <row r="723" spans="2:8" ht="18.75" x14ac:dyDescent="0.3">
      <c r="B723" s="9" t="s">
        <v>111</v>
      </c>
      <c r="H723" s="242"/>
    </row>
    <row r="724" spans="2:8" x14ac:dyDescent="0.25">
      <c r="B724" s="180" t="s">
        <v>112</v>
      </c>
      <c r="H724" s="242"/>
    </row>
    <row r="725" spans="2:8" x14ac:dyDescent="0.25">
      <c r="H725" s="242"/>
    </row>
    <row r="726" spans="2:8" x14ac:dyDescent="0.25">
      <c r="B726" s="1" t="s">
        <v>318</v>
      </c>
      <c r="C726" s="1" t="s">
        <v>129</v>
      </c>
      <c r="D726" s="12"/>
      <c r="H726" s="242"/>
    </row>
    <row r="727" spans="2:8" x14ac:dyDescent="0.25">
      <c r="B727" s="202" t="s">
        <v>23</v>
      </c>
      <c r="C727" s="25" t="s">
        <v>117</v>
      </c>
      <c r="H727" s="242"/>
    </row>
    <row r="728" spans="2:8" x14ac:dyDescent="0.25">
      <c r="B728" s="185" t="s">
        <v>118</v>
      </c>
      <c r="C728" s="38">
        <v>3</v>
      </c>
      <c r="H728" s="242"/>
    </row>
    <row r="729" spans="2:8" x14ac:dyDescent="0.25">
      <c r="B729" s="185">
        <v>1</v>
      </c>
      <c r="C729" s="38">
        <v>1</v>
      </c>
      <c r="H729" s="242"/>
    </row>
    <row r="730" spans="2:8" x14ac:dyDescent="0.25">
      <c r="B730" s="187">
        <v>2</v>
      </c>
      <c r="C730" s="56">
        <v>1</v>
      </c>
      <c r="H730" s="242"/>
    </row>
    <row r="731" spans="2:8" x14ac:dyDescent="0.25">
      <c r="B731" s="185">
        <v>4</v>
      </c>
      <c r="C731" s="38">
        <v>0</v>
      </c>
      <c r="H731" s="242"/>
    </row>
    <row r="732" spans="2:8" x14ac:dyDescent="0.25">
      <c r="B732" s="187" t="s">
        <v>119</v>
      </c>
      <c r="C732" s="56">
        <v>0</v>
      </c>
      <c r="H732" s="242"/>
    </row>
    <row r="733" spans="2:8" x14ac:dyDescent="0.25">
      <c r="B733" s="78"/>
      <c r="H733" s="242"/>
    </row>
    <row r="734" spans="2:8" x14ac:dyDescent="0.25">
      <c r="B734" s="78"/>
    </row>
    <row r="735" spans="2:8" ht="18.75" x14ac:dyDescent="0.3">
      <c r="B735" s="214" t="s">
        <v>131</v>
      </c>
    </row>
    <row r="736" spans="2:8" x14ac:dyDescent="0.25">
      <c r="B736" s="78" t="s">
        <v>132</v>
      </c>
    </row>
    <row r="737" spans="2:5" x14ac:dyDescent="0.25">
      <c r="B737" s="78"/>
    </row>
    <row r="738" spans="2:5" x14ac:dyDescent="0.25">
      <c r="B738" s="215" t="s">
        <v>233</v>
      </c>
      <c r="C738" s="216" t="s">
        <v>130</v>
      </c>
      <c r="D738" s="5"/>
    </row>
    <row r="739" spans="2:5" x14ac:dyDescent="0.25">
      <c r="B739" s="447" t="s">
        <v>23</v>
      </c>
      <c r="C739" s="472" t="s">
        <v>117</v>
      </c>
      <c r="D739" s="449" t="s">
        <v>26</v>
      </c>
      <c r="E739" s="473"/>
    </row>
    <row r="740" spans="2:5" x14ac:dyDescent="0.25">
      <c r="B740" s="220" t="s">
        <v>235</v>
      </c>
      <c r="C740" s="212">
        <v>5</v>
      </c>
      <c r="D740" s="151"/>
    </row>
    <row r="741" spans="2:5" x14ac:dyDescent="0.25">
      <c r="B741" s="220">
        <v>4</v>
      </c>
      <c r="C741" s="212">
        <v>0</v>
      </c>
      <c r="D741" s="151"/>
    </row>
    <row r="742" spans="2:5" x14ac:dyDescent="0.25">
      <c r="B742" s="220">
        <v>6</v>
      </c>
      <c r="C742" s="212">
        <v>0</v>
      </c>
      <c r="D742" s="151"/>
    </row>
    <row r="743" spans="2:5" x14ac:dyDescent="0.25">
      <c r="B743" s="220">
        <v>8</v>
      </c>
      <c r="C743" s="212">
        <v>0</v>
      </c>
      <c r="D743" s="151"/>
    </row>
    <row r="744" spans="2:5" x14ac:dyDescent="0.25">
      <c r="B744" s="220">
        <v>16</v>
      </c>
      <c r="C744" s="212">
        <v>0</v>
      </c>
      <c r="D744" s="151"/>
    </row>
    <row r="745" spans="2:5" x14ac:dyDescent="0.25">
      <c r="B745" s="221" t="s">
        <v>139</v>
      </c>
      <c r="C745" s="213">
        <v>0</v>
      </c>
      <c r="D745" s="162"/>
    </row>
    <row r="746" spans="2:5" x14ac:dyDescent="0.25">
      <c r="B746" s="230"/>
      <c r="C746" s="5"/>
      <c r="D746" s="5"/>
    </row>
    <row r="747" spans="2:5" x14ac:dyDescent="0.25">
      <c r="B747" s="215" t="s">
        <v>224</v>
      </c>
      <c r="C747" s="216" t="s">
        <v>130</v>
      </c>
      <c r="D747" s="5"/>
    </row>
    <row r="748" spans="2:5" x14ac:dyDescent="0.25">
      <c r="B748" s="447" t="s">
        <v>23</v>
      </c>
      <c r="C748" s="472" t="s">
        <v>117</v>
      </c>
      <c r="D748" s="449" t="s">
        <v>26</v>
      </c>
    </row>
    <row r="749" spans="2:5" x14ac:dyDescent="0.25">
      <c r="B749" s="220" t="s">
        <v>118</v>
      </c>
      <c r="C749" s="212">
        <v>3</v>
      </c>
      <c r="D749" s="151"/>
    </row>
    <row r="750" spans="2:5" x14ac:dyDescent="0.25">
      <c r="B750" s="220">
        <v>1</v>
      </c>
      <c r="C750" s="212">
        <v>1</v>
      </c>
      <c r="D750" s="151"/>
    </row>
    <row r="751" spans="2:5" x14ac:dyDescent="0.25">
      <c r="B751" s="220">
        <v>2</v>
      </c>
      <c r="C751" s="212">
        <v>0</v>
      </c>
      <c r="D751" s="151"/>
    </row>
    <row r="752" spans="2:5" x14ac:dyDescent="0.25">
      <c r="B752" s="220">
        <v>4</v>
      </c>
      <c r="C752" s="212">
        <v>1</v>
      </c>
      <c r="D752" s="151"/>
    </row>
    <row r="753" spans="2:4" x14ac:dyDescent="0.25">
      <c r="B753" s="221" t="s">
        <v>119</v>
      </c>
      <c r="C753" s="213">
        <v>0</v>
      </c>
      <c r="D753" s="162"/>
    </row>
    <row r="754" spans="2:4" x14ac:dyDescent="0.25">
      <c r="B754" s="230"/>
      <c r="C754" s="5"/>
      <c r="D754" s="5"/>
    </row>
    <row r="755" spans="2:4" x14ac:dyDescent="0.25">
      <c r="B755" s="215" t="s">
        <v>319</v>
      </c>
      <c r="C755" s="216" t="s">
        <v>130</v>
      </c>
      <c r="D755" s="5"/>
    </row>
    <row r="756" spans="2:4" x14ac:dyDescent="0.25">
      <c r="B756" s="447" t="s">
        <v>23</v>
      </c>
      <c r="C756" s="472" t="s">
        <v>117</v>
      </c>
      <c r="D756" s="449" t="s">
        <v>26</v>
      </c>
    </row>
    <row r="757" spans="2:4" x14ac:dyDescent="0.25">
      <c r="B757" s="220" t="s">
        <v>201</v>
      </c>
      <c r="C757" s="212">
        <v>3</v>
      </c>
      <c r="D757" s="151"/>
    </row>
    <row r="758" spans="2:4" x14ac:dyDescent="0.25">
      <c r="B758" s="220">
        <v>0.25</v>
      </c>
      <c r="C758" s="212">
        <v>0</v>
      </c>
      <c r="D758" s="151"/>
    </row>
    <row r="759" spans="2:4" x14ac:dyDescent="0.25">
      <c r="B759" s="220">
        <v>0.5</v>
      </c>
      <c r="C759" s="212">
        <v>2</v>
      </c>
      <c r="D759" s="151"/>
    </row>
    <row r="760" spans="2:4" x14ac:dyDescent="0.25">
      <c r="B760" s="220">
        <v>1</v>
      </c>
      <c r="C760" s="212">
        <v>0</v>
      </c>
      <c r="D760" s="151"/>
    </row>
    <row r="761" spans="2:4" x14ac:dyDescent="0.25">
      <c r="B761" s="220">
        <v>2</v>
      </c>
      <c r="C761" s="212">
        <v>0</v>
      </c>
      <c r="D761" s="151"/>
    </row>
    <row r="762" spans="2:4" x14ac:dyDescent="0.25">
      <c r="B762" s="221" t="s">
        <v>124</v>
      </c>
      <c r="C762" s="213">
        <v>0</v>
      </c>
      <c r="D762" s="162"/>
    </row>
    <row r="763" spans="2:4" x14ac:dyDescent="0.25">
      <c r="B763" s="230"/>
      <c r="C763" s="5"/>
      <c r="D763" s="5"/>
    </row>
    <row r="764" spans="2:4" x14ac:dyDescent="0.25">
      <c r="B764" s="215" t="s">
        <v>320</v>
      </c>
      <c r="C764" s="216" t="s">
        <v>130</v>
      </c>
      <c r="D764" s="5"/>
    </row>
    <row r="765" spans="2:4" x14ac:dyDescent="0.25">
      <c r="B765" s="447" t="s">
        <v>23</v>
      </c>
      <c r="C765" s="472" t="s">
        <v>117</v>
      </c>
      <c r="D765" s="449" t="s">
        <v>26</v>
      </c>
    </row>
    <row r="766" spans="2:4" x14ac:dyDescent="0.25">
      <c r="B766" s="220" t="s">
        <v>201</v>
      </c>
      <c r="C766" s="212">
        <v>3</v>
      </c>
      <c r="D766" s="151"/>
    </row>
    <row r="767" spans="2:4" x14ac:dyDescent="0.25">
      <c r="B767" s="220">
        <v>0.25</v>
      </c>
      <c r="C767" s="212">
        <v>0</v>
      </c>
      <c r="D767" s="151"/>
    </row>
    <row r="768" spans="2:4" x14ac:dyDescent="0.25">
      <c r="B768" s="220">
        <v>0.5</v>
      </c>
      <c r="C768" s="212">
        <v>2</v>
      </c>
      <c r="D768" s="151"/>
    </row>
    <row r="769" spans="2:4" x14ac:dyDescent="0.25">
      <c r="B769" s="220">
        <v>1</v>
      </c>
      <c r="C769" s="212">
        <v>0</v>
      </c>
      <c r="D769" s="151"/>
    </row>
    <row r="770" spans="2:4" x14ac:dyDescent="0.25">
      <c r="B770" s="220">
        <v>2</v>
      </c>
      <c r="C770" s="212">
        <v>0</v>
      </c>
      <c r="D770" s="151"/>
    </row>
    <row r="771" spans="2:4" x14ac:dyDescent="0.25">
      <c r="B771" s="220">
        <v>4</v>
      </c>
      <c r="C771" s="212">
        <v>0</v>
      </c>
      <c r="D771" s="151"/>
    </row>
    <row r="772" spans="2:4" x14ac:dyDescent="0.25">
      <c r="B772" s="221" t="s">
        <v>119</v>
      </c>
      <c r="C772" s="213">
        <v>0</v>
      </c>
      <c r="D772" s="162"/>
    </row>
    <row r="773" spans="2:4" x14ac:dyDescent="0.25">
      <c r="B773" s="230"/>
      <c r="C773" s="5"/>
      <c r="D773" s="5"/>
    </row>
    <row r="774" spans="2:4" x14ac:dyDescent="0.25">
      <c r="B774" s="215" t="s">
        <v>321</v>
      </c>
      <c r="C774" s="216" t="s">
        <v>130</v>
      </c>
      <c r="D774" s="5"/>
    </row>
    <row r="775" spans="2:4" x14ac:dyDescent="0.25">
      <c r="B775" s="447" t="s">
        <v>23</v>
      </c>
      <c r="C775" s="472" t="s">
        <v>117</v>
      </c>
      <c r="D775" s="449" t="s">
        <v>26</v>
      </c>
    </row>
    <row r="776" spans="2:4" x14ac:dyDescent="0.25">
      <c r="B776" s="220" t="s">
        <v>118</v>
      </c>
      <c r="C776" s="212">
        <v>4</v>
      </c>
      <c r="D776" s="151"/>
    </row>
    <row r="777" spans="2:4" x14ac:dyDescent="0.25">
      <c r="B777" s="220">
        <v>1</v>
      </c>
      <c r="C777" s="212">
        <v>1</v>
      </c>
      <c r="D777" s="151"/>
    </row>
    <row r="778" spans="2:4" x14ac:dyDescent="0.25">
      <c r="B778" s="220">
        <v>2</v>
      </c>
      <c r="C778" s="212">
        <v>0</v>
      </c>
      <c r="D778" s="151"/>
    </row>
    <row r="779" spans="2:4" x14ac:dyDescent="0.25">
      <c r="B779" s="220">
        <v>4</v>
      </c>
      <c r="C779" s="212">
        <v>0</v>
      </c>
      <c r="D779" s="151"/>
    </row>
    <row r="780" spans="2:4" x14ac:dyDescent="0.25">
      <c r="B780" s="220">
        <v>8</v>
      </c>
      <c r="C780" s="212">
        <v>0</v>
      </c>
      <c r="D780" s="151"/>
    </row>
    <row r="781" spans="2:4" x14ac:dyDescent="0.25">
      <c r="B781" s="221" t="s">
        <v>61</v>
      </c>
      <c r="C781" s="213">
        <v>0</v>
      </c>
      <c r="D781" s="162"/>
    </row>
    <row r="782" spans="2:4" x14ac:dyDescent="0.25">
      <c r="B782" s="230"/>
      <c r="C782" s="5"/>
      <c r="D782" s="5"/>
    </row>
    <row r="783" spans="2:4" x14ac:dyDescent="0.25">
      <c r="B783" s="215" t="s">
        <v>322</v>
      </c>
      <c r="C783" s="216" t="s">
        <v>130</v>
      </c>
      <c r="D783" s="5"/>
    </row>
    <row r="784" spans="2:4" x14ac:dyDescent="0.25">
      <c r="B784" s="447" t="s">
        <v>23</v>
      </c>
      <c r="C784" s="472" t="s">
        <v>117</v>
      </c>
      <c r="D784" s="449" t="s">
        <v>26</v>
      </c>
    </row>
    <row r="785" spans="2:4" x14ac:dyDescent="0.25">
      <c r="B785" s="220" t="s">
        <v>118</v>
      </c>
      <c r="C785" s="212">
        <v>5</v>
      </c>
      <c r="D785" s="151"/>
    </row>
    <row r="786" spans="2:4" x14ac:dyDescent="0.25">
      <c r="B786" s="220">
        <v>1</v>
      </c>
      <c r="C786" s="212">
        <v>0</v>
      </c>
      <c r="D786" s="151"/>
    </row>
    <row r="787" spans="2:4" x14ac:dyDescent="0.25">
      <c r="B787" s="220">
        <v>2</v>
      </c>
      <c r="C787" s="212">
        <v>0</v>
      </c>
      <c r="D787" s="151"/>
    </row>
    <row r="788" spans="2:4" x14ac:dyDescent="0.25">
      <c r="B788" s="220">
        <v>4</v>
      </c>
      <c r="C788" s="212">
        <v>0</v>
      </c>
      <c r="D788" s="151"/>
    </row>
    <row r="789" spans="2:4" x14ac:dyDescent="0.25">
      <c r="B789" s="221" t="s">
        <v>119</v>
      </c>
      <c r="C789" s="213">
        <v>0</v>
      </c>
      <c r="D789" s="162"/>
    </row>
    <row r="790" spans="2:4" x14ac:dyDescent="0.25">
      <c r="B790" s="230"/>
      <c r="C790" s="5"/>
      <c r="D790" s="5"/>
    </row>
    <row r="791" spans="2:4" x14ac:dyDescent="0.25">
      <c r="B791" s="215" t="s">
        <v>323</v>
      </c>
      <c r="C791" s="216" t="s">
        <v>130</v>
      </c>
      <c r="D791" s="5"/>
    </row>
    <row r="792" spans="2:4" x14ac:dyDescent="0.25">
      <c r="B792" s="447" t="s">
        <v>23</v>
      </c>
      <c r="C792" s="448" t="s">
        <v>117</v>
      </c>
      <c r="D792" s="449" t="s">
        <v>26</v>
      </c>
    </row>
    <row r="793" spans="2:4" x14ac:dyDescent="0.25">
      <c r="B793" s="220" t="s">
        <v>30</v>
      </c>
      <c r="C793" s="5">
        <v>5</v>
      </c>
      <c r="D793" s="151"/>
    </row>
    <row r="794" spans="2:4" x14ac:dyDescent="0.25">
      <c r="B794" s="220">
        <v>0.5</v>
      </c>
      <c r="C794" s="5">
        <v>0</v>
      </c>
      <c r="D794" s="151"/>
    </row>
    <row r="795" spans="2:4" x14ac:dyDescent="0.25">
      <c r="B795" s="220">
        <v>1</v>
      </c>
      <c r="C795" s="5">
        <v>0</v>
      </c>
      <c r="D795" s="151"/>
    </row>
    <row r="796" spans="2:4" x14ac:dyDescent="0.25">
      <c r="B796" s="220">
        <v>2</v>
      </c>
      <c r="C796" s="5">
        <v>0</v>
      </c>
      <c r="D796" s="151"/>
    </row>
    <row r="797" spans="2:4" x14ac:dyDescent="0.25">
      <c r="B797" s="221" t="s">
        <v>157</v>
      </c>
      <c r="C797" s="222">
        <v>0</v>
      </c>
      <c r="D797" s="162"/>
    </row>
    <row r="798" spans="2:4" x14ac:dyDescent="0.25">
      <c r="B798" s="230"/>
      <c r="C798" s="5"/>
      <c r="D798" s="5"/>
    </row>
    <row r="799" spans="2:4" x14ac:dyDescent="0.25">
      <c r="B799" s="215" t="s">
        <v>265</v>
      </c>
      <c r="C799" s="216" t="s">
        <v>130</v>
      </c>
      <c r="D799" s="5"/>
    </row>
    <row r="800" spans="2:4" x14ac:dyDescent="0.25">
      <c r="B800" s="447" t="s">
        <v>23</v>
      </c>
      <c r="C800" s="448" t="s">
        <v>117</v>
      </c>
      <c r="D800" s="449" t="s">
        <v>26</v>
      </c>
    </row>
    <row r="801" spans="2:4" x14ac:dyDescent="0.25">
      <c r="B801" s="220" t="s">
        <v>30</v>
      </c>
      <c r="C801" s="5">
        <v>5</v>
      </c>
      <c r="D801" s="151"/>
    </row>
    <row r="802" spans="2:4" x14ac:dyDescent="0.25">
      <c r="B802" s="220">
        <v>0.5</v>
      </c>
      <c r="C802" s="5">
        <v>0</v>
      </c>
      <c r="D802" s="151"/>
    </row>
    <row r="803" spans="2:4" x14ac:dyDescent="0.25">
      <c r="B803" s="220">
        <v>1</v>
      </c>
      <c r="C803" s="5">
        <v>0</v>
      </c>
      <c r="D803" s="151"/>
    </row>
    <row r="804" spans="2:4" x14ac:dyDescent="0.25">
      <c r="B804" s="220">
        <v>2</v>
      </c>
      <c r="C804" s="5">
        <v>0</v>
      </c>
      <c r="D804" s="151"/>
    </row>
    <row r="805" spans="2:4" x14ac:dyDescent="0.25">
      <c r="B805" s="221" t="s">
        <v>157</v>
      </c>
      <c r="C805" s="222">
        <v>0</v>
      </c>
      <c r="D805" s="162"/>
    </row>
    <row r="806" spans="2:4" x14ac:dyDescent="0.25">
      <c r="B806" s="230"/>
      <c r="C806" s="5"/>
      <c r="D806" s="5"/>
    </row>
    <row r="807" spans="2:4" x14ac:dyDescent="0.25">
      <c r="B807" s="215" t="s">
        <v>274</v>
      </c>
      <c r="C807" s="216" t="s">
        <v>130</v>
      </c>
      <c r="D807" s="5"/>
    </row>
    <row r="808" spans="2:4" x14ac:dyDescent="0.25">
      <c r="B808" s="447" t="s">
        <v>23</v>
      </c>
      <c r="C808" s="448" t="s">
        <v>117</v>
      </c>
      <c r="D808" s="449" t="s">
        <v>26</v>
      </c>
    </row>
    <row r="809" spans="2:4" x14ac:dyDescent="0.25">
      <c r="B809" s="220" t="s">
        <v>39</v>
      </c>
      <c r="C809" s="5">
        <v>3</v>
      </c>
      <c r="D809" s="151"/>
    </row>
    <row r="810" spans="2:4" x14ac:dyDescent="0.25">
      <c r="B810" s="220">
        <v>0.25</v>
      </c>
      <c r="C810" s="5">
        <v>2</v>
      </c>
      <c r="D810" s="151"/>
    </row>
    <row r="811" spans="2:4" x14ac:dyDescent="0.25">
      <c r="B811" s="220">
        <v>0.5</v>
      </c>
      <c r="C811" s="5">
        <v>0</v>
      </c>
      <c r="D811" s="151"/>
    </row>
    <row r="812" spans="2:4" x14ac:dyDescent="0.25">
      <c r="B812" s="220">
        <v>1</v>
      </c>
      <c r="C812" s="5">
        <v>0</v>
      </c>
      <c r="D812" s="151"/>
    </row>
    <row r="813" spans="2:4" x14ac:dyDescent="0.25">
      <c r="B813" s="221" t="s">
        <v>42</v>
      </c>
      <c r="C813" s="222">
        <v>0</v>
      </c>
      <c r="D813" s="162"/>
    </row>
    <row r="814" spans="2:4" x14ac:dyDescent="0.25">
      <c r="B814" s="230"/>
      <c r="C814" s="5"/>
      <c r="D814" s="5"/>
    </row>
    <row r="815" spans="2:4" x14ac:dyDescent="0.25">
      <c r="B815" s="215" t="s">
        <v>113</v>
      </c>
      <c r="C815" s="216" t="s">
        <v>304</v>
      </c>
      <c r="D815" s="5"/>
    </row>
    <row r="816" spans="2:4" x14ac:dyDescent="0.25">
      <c r="B816" s="474" t="s">
        <v>23</v>
      </c>
      <c r="C816" s="472" t="s">
        <v>117</v>
      </c>
      <c r="D816" s="449" t="s">
        <v>26</v>
      </c>
    </row>
    <row r="817" spans="2:4" x14ac:dyDescent="0.25">
      <c r="B817" s="237" t="s">
        <v>223</v>
      </c>
      <c r="C817" s="212">
        <v>4</v>
      </c>
      <c r="D817" s="151"/>
    </row>
    <row r="818" spans="2:4" x14ac:dyDescent="0.25">
      <c r="B818" s="237">
        <v>0.12</v>
      </c>
      <c r="C818" s="212">
        <v>1</v>
      </c>
      <c r="D818" s="151"/>
    </row>
    <row r="819" spans="2:4" x14ac:dyDescent="0.25">
      <c r="B819" s="237">
        <v>0.25</v>
      </c>
      <c r="C819" s="212">
        <v>0</v>
      </c>
      <c r="D819" s="151"/>
    </row>
    <row r="820" spans="2:4" x14ac:dyDescent="0.25">
      <c r="B820" s="237">
        <v>0.5</v>
      </c>
      <c r="C820" s="212">
        <v>0</v>
      </c>
      <c r="D820" s="151"/>
    </row>
    <row r="821" spans="2:4" x14ac:dyDescent="0.25">
      <c r="B821" s="237">
        <v>1</v>
      </c>
      <c r="C821" s="212">
        <v>0</v>
      </c>
      <c r="D821" s="151"/>
    </row>
    <row r="822" spans="2:4" x14ac:dyDescent="0.25">
      <c r="B822" s="237">
        <v>2</v>
      </c>
      <c r="C822" s="212">
        <v>0</v>
      </c>
      <c r="D822" s="151"/>
    </row>
    <row r="823" spans="2:4" x14ac:dyDescent="0.25">
      <c r="B823" s="238" t="s">
        <v>124</v>
      </c>
      <c r="C823" s="213">
        <v>0</v>
      </c>
      <c r="D823" s="162"/>
    </row>
    <row r="824" spans="2:4" x14ac:dyDescent="0.25">
      <c r="B824" s="230"/>
      <c r="C824" s="5"/>
      <c r="D824" s="5"/>
    </row>
    <row r="825" spans="2:4" x14ac:dyDescent="0.25">
      <c r="B825" s="215" t="s">
        <v>121</v>
      </c>
      <c r="C825" s="216" t="s">
        <v>304</v>
      </c>
      <c r="D825" s="5"/>
    </row>
    <row r="826" spans="2:4" x14ac:dyDescent="0.25">
      <c r="B826" s="474" t="s">
        <v>23</v>
      </c>
      <c r="C826" s="472" t="s">
        <v>117</v>
      </c>
      <c r="D826" s="449" t="s">
        <v>26</v>
      </c>
    </row>
    <row r="827" spans="2:4" x14ac:dyDescent="0.25">
      <c r="B827" s="237" t="s">
        <v>232</v>
      </c>
      <c r="C827" s="212">
        <v>5</v>
      </c>
      <c r="D827" s="151"/>
    </row>
    <row r="828" spans="2:4" x14ac:dyDescent="0.25">
      <c r="B828" s="237">
        <v>2</v>
      </c>
      <c r="C828" s="212">
        <v>0</v>
      </c>
      <c r="D828" s="151"/>
    </row>
    <row r="829" spans="2:4" x14ac:dyDescent="0.25">
      <c r="B829" s="237">
        <v>4</v>
      </c>
      <c r="C829" s="212">
        <v>0</v>
      </c>
      <c r="D829" s="151"/>
    </row>
    <row r="830" spans="2:4" x14ac:dyDescent="0.25">
      <c r="B830" s="237">
        <v>8</v>
      </c>
      <c r="C830" s="212">
        <v>0</v>
      </c>
      <c r="D830" s="151"/>
    </row>
    <row r="831" spans="2:4" x14ac:dyDescent="0.25">
      <c r="B831" s="238" t="s">
        <v>61</v>
      </c>
      <c r="C831" s="213">
        <v>0</v>
      </c>
      <c r="D831" s="162"/>
    </row>
    <row r="832" spans="2:4" x14ac:dyDescent="0.25">
      <c r="B832" s="230"/>
      <c r="C832" s="5"/>
      <c r="D832" s="5"/>
    </row>
    <row r="833" spans="2:4" x14ac:dyDescent="0.25">
      <c r="B833" s="215" t="s">
        <v>280</v>
      </c>
      <c r="C833" s="216" t="s">
        <v>130</v>
      </c>
      <c r="D833" s="5"/>
    </row>
    <row r="834" spans="2:4" x14ac:dyDescent="0.25">
      <c r="B834" s="447" t="s">
        <v>23</v>
      </c>
      <c r="C834" s="448" t="s">
        <v>117</v>
      </c>
      <c r="D834" s="449" t="s">
        <v>26</v>
      </c>
    </row>
    <row r="835" spans="2:4" x14ac:dyDescent="0.25">
      <c r="B835" s="220" t="s">
        <v>183</v>
      </c>
      <c r="C835" s="5">
        <v>4</v>
      </c>
      <c r="D835" s="151"/>
    </row>
    <row r="836" spans="2:4" x14ac:dyDescent="0.25">
      <c r="B836" s="475" t="s">
        <v>184</v>
      </c>
      <c r="C836" s="5">
        <v>0</v>
      </c>
      <c r="D836" s="151"/>
    </row>
    <row r="837" spans="2:4" x14ac:dyDescent="0.25">
      <c r="B837" s="475" t="s">
        <v>53</v>
      </c>
      <c r="C837" s="5">
        <v>0</v>
      </c>
      <c r="D837" s="151"/>
    </row>
    <row r="838" spans="2:4" x14ac:dyDescent="0.25">
      <c r="B838" s="475" t="s">
        <v>55</v>
      </c>
      <c r="C838" s="5">
        <v>1</v>
      </c>
      <c r="D838" s="151"/>
    </row>
    <row r="839" spans="2:4" x14ac:dyDescent="0.25">
      <c r="B839" s="221" t="s">
        <v>185</v>
      </c>
      <c r="C839" s="222">
        <v>0</v>
      </c>
      <c r="D839" s="162"/>
    </row>
    <row r="840" spans="2:4" x14ac:dyDescent="0.25">
      <c r="B840" s="230"/>
      <c r="C840" s="5"/>
      <c r="D840" s="5"/>
    </row>
    <row r="841" spans="2:4" x14ac:dyDescent="0.25">
      <c r="B841" s="215" t="s">
        <v>287</v>
      </c>
      <c r="C841" s="216" t="s">
        <v>130</v>
      </c>
      <c r="D841" s="5"/>
    </row>
    <row r="842" spans="2:4" x14ac:dyDescent="0.25">
      <c r="B842" s="447" t="s">
        <v>23</v>
      </c>
      <c r="C842" s="448" t="s">
        <v>117</v>
      </c>
      <c r="D842" s="449" t="s">
        <v>26</v>
      </c>
    </row>
    <row r="843" spans="2:4" x14ac:dyDescent="0.25">
      <c r="B843" s="220" t="s">
        <v>82</v>
      </c>
      <c r="C843" s="5">
        <v>0</v>
      </c>
      <c r="D843" s="151"/>
    </row>
    <row r="844" spans="2:4" x14ac:dyDescent="0.25">
      <c r="B844" s="220">
        <v>2</v>
      </c>
      <c r="C844" s="5">
        <v>0</v>
      </c>
      <c r="D844" s="151"/>
    </row>
    <row r="845" spans="2:4" x14ac:dyDescent="0.25">
      <c r="B845" s="220">
        <v>4</v>
      </c>
      <c r="C845" s="5">
        <v>4</v>
      </c>
      <c r="D845" s="151"/>
    </row>
    <row r="846" spans="2:4" x14ac:dyDescent="0.25">
      <c r="B846" s="220">
        <v>8</v>
      </c>
      <c r="C846" s="5">
        <v>1</v>
      </c>
      <c r="D846" s="151"/>
    </row>
    <row r="847" spans="2:4" x14ac:dyDescent="0.25">
      <c r="B847" s="220">
        <v>16</v>
      </c>
      <c r="C847" s="5">
        <v>0</v>
      </c>
      <c r="D847" s="151"/>
    </row>
    <row r="848" spans="2:4" x14ac:dyDescent="0.25">
      <c r="B848" s="220">
        <v>32</v>
      </c>
      <c r="C848" s="5">
        <v>0</v>
      </c>
      <c r="D848" s="151"/>
    </row>
    <row r="849" spans="2:4" x14ac:dyDescent="0.25">
      <c r="B849" s="221" t="s">
        <v>101</v>
      </c>
      <c r="C849" s="222">
        <v>0</v>
      </c>
      <c r="D849" s="162"/>
    </row>
    <row r="850" spans="2:4" x14ac:dyDescent="0.25">
      <c r="B850" s="230"/>
      <c r="C850" s="5"/>
      <c r="D850" s="5"/>
    </row>
    <row r="851" spans="2:4" x14ac:dyDescent="0.25">
      <c r="B851" s="215" t="s">
        <v>270</v>
      </c>
      <c r="C851" s="216" t="s">
        <v>130</v>
      </c>
      <c r="D851" s="5"/>
    </row>
    <row r="852" spans="2:4" x14ac:dyDescent="0.25">
      <c r="B852" s="447" t="s">
        <v>23</v>
      </c>
      <c r="C852" s="448" t="s">
        <v>117</v>
      </c>
      <c r="D852" s="449" t="s">
        <v>26</v>
      </c>
    </row>
    <row r="853" spans="2:4" x14ac:dyDescent="0.25">
      <c r="B853" s="220" t="s">
        <v>82</v>
      </c>
      <c r="C853" s="5">
        <v>5</v>
      </c>
      <c r="D853" s="151"/>
    </row>
    <row r="854" spans="2:4" x14ac:dyDescent="0.25">
      <c r="B854" s="220">
        <v>2</v>
      </c>
      <c r="C854" s="5">
        <v>0</v>
      </c>
      <c r="D854" s="151"/>
    </row>
    <row r="855" spans="2:4" x14ac:dyDescent="0.25">
      <c r="B855" s="220">
        <v>4</v>
      </c>
      <c r="C855" s="5">
        <v>0</v>
      </c>
      <c r="D855" s="151"/>
    </row>
    <row r="856" spans="2:4" x14ac:dyDescent="0.25">
      <c r="B856" s="220">
        <v>8</v>
      </c>
      <c r="C856" s="5">
        <v>0</v>
      </c>
      <c r="D856" s="151"/>
    </row>
    <row r="857" spans="2:4" x14ac:dyDescent="0.25">
      <c r="B857" s="221" t="s">
        <v>87</v>
      </c>
      <c r="C857" s="222">
        <v>0</v>
      </c>
      <c r="D857" s="162"/>
    </row>
    <row r="858" spans="2:4" x14ac:dyDescent="0.25">
      <c r="B858" s="230"/>
      <c r="C858" s="5"/>
      <c r="D858" s="5"/>
    </row>
    <row r="859" spans="2:4" x14ac:dyDescent="0.25">
      <c r="B859" s="215" t="s">
        <v>324</v>
      </c>
      <c r="C859" s="216" t="s">
        <v>130</v>
      </c>
      <c r="D859" s="5"/>
    </row>
    <row r="860" spans="2:4" x14ac:dyDescent="0.25">
      <c r="B860" s="447" t="s">
        <v>23</v>
      </c>
      <c r="C860" s="448" t="s">
        <v>117</v>
      </c>
      <c r="D860" s="449" t="s">
        <v>26</v>
      </c>
    </row>
    <row r="861" spans="2:4" x14ac:dyDescent="0.25">
      <c r="B861" s="220" t="s">
        <v>178</v>
      </c>
      <c r="C861" s="5">
        <v>2</v>
      </c>
      <c r="D861" s="151"/>
    </row>
    <row r="862" spans="2:4" x14ac:dyDescent="0.25">
      <c r="B862" s="220">
        <v>0.03</v>
      </c>
      <c r="C862" s="5">
        <v>1</v>
      </c>
      <c r="D862" s="151"/>
    </row>
    <row r="863" spans="2:4" x14ac:dyDescent="0.25">
      <c r="B863" s="220">
        <v>0.06</v>
      </c>
      <c r="C863" s="5">
        <v>2</v>
      </c>
      <c r="D863" s="151"/>
    </row>
    <row r="864" spans="2:4" x14ac:dyDescent="0.25">
      <c r="B864" s="220">
        <v>0.12</v>
      </c>
      <c r="C864" s="5">
        <v>0</v>
      </c>
      <c r="D864" s="151"/>
    </row>
    <row r="865" spans="2:4" x14ac:dyDescent="0.25">
      <c r="B865" s="221" t="s">
        <v>179</v>
      </c>
      <c r="C865" s="222">
        <v>0</v>
      </c>
      <c r="D865" s="162"/>
    </row>
    <row r="866" spans="2:4" x14ac:dyDescent="0.25">
      <c r="B866" s="230"/>
      <c r="C866" s="5"/>
      <c r="D866" s="5"/>
    </row>
    <row r="867" spans="2:4" x14ac:dyDescent="0.25">
      <c r="B867" s="215" t="s">
        <v>325</v>
      </c>
      <c r="C867" s="216" t="s">
        <v>130</v>
      </c>
      <c r="D867" s="5"/>
    </row>
    <row r="868" spans="2:4" x14ac:dyDescent="0.25">
      <c r="B868" s="447" t="s">
        <v>23</v>
      </c>
      <c r="C868" s="448" t="s">
        <v>117</v>
      </c>
      <c r="D868" s="449" t="s">
        <v>26</v>
      </c>
    </row>
    <row r="869" spans="2:4" x14ac:dyDescent="0.25">
      <c r="B869" s="475" t="s">
        <v>30</v>
      </c>
      <c r="C869" s="5">
        <v>0</v>
      </c>
      <c r="D869" s="151"/>
    </row>
    <row r="870" spans="2:4" x14ac:dyDescent="0.25">
      <c r="B870" s="220">
        <v>0.5</v>
      </c>
      <c r="C870" s="5">
        <v>2</v>
      </c>
      <c r="D870" s="151"/>
    </row>
    <row r="871" spans="2:4" x14ac:dyDescent="0.25">
      <c r="B871" s="475">
        <v>1</v>
      </c>
      <c r="C871" s="5">
        <v>3</v>
      </c>
      <c r="D871" s="151"/>
    </row>
    <row r="872" spans="2:4" x14ac:dyDescent="0.25">
      <c r="B872" s="220">
        <v>2</v>
      </c>
      <c r="C872" s="5">
        <v>0</v>
      </c>
      <c r="D872" s="151"/>
    </row>
    <row r="873" spans="2:4" x14ac:dyDescent="0.25">
      <c r="B873" s="220">
        <v>4</v>
      </c>
      <c r="C873" s="5">
        <v>0</v>
      </c>
      <c r="D873" s="151"/>
    </row>
    <row r="874" spans="2:4" x14ac:dyDescent="0.25">
      <c r="B874" s="221" t="s">
        <v>33</v>
      </c>
      <c r="C874" s="222">
        <v>0</v>
      </c>
      <c r="D874" s="162"/>
    </row>
    <row r="875" spans="2:4" x14ac:dyDescent="0.25">
      <c r="B875" s="78"/>
    </row>
    <row r="877" spans="2:4" s="7" customFormat="1" ht="18.75" x14ac:dyDescent="0.3">
      <c r="B877" s="8" t="s">
        <v>326</v>
      </c>
    </row>
    <row r="878" spans="2:4" x14ac:dyDescent="0.25">
      <c r="B878" t="s">
        <v>327</v>
      </c>
    </row>
    <row r="881" spans="2:7" ht="19.5" thickBot="1" x14ac:dyDescent="0.35">
      <c r="B881" s="9" t="s">
        <v>328</v>
      </c>
      <c r="C881" s="78"/>
      <c r="D881" s="12"/>
    </row>
    <row r="882" spans="2:7" x14ac:dyDescent="0.25">
      <c r="B882" s="20" t="s">
        <v>22</v>
      </c>
      <c r="C882" s="21" t="s">
        <v>23</v>
      </c>
      <c r="D882" s="21" t="s">
        <v>24</v>
      </c>
      <c r="E882" s="21" t="s">
        <v>25</v>
      </c>
      <c r="F882" s="22" t="s">
        <v>26</v>
      </c>
      <c r="G882" s="23" t="s">
        <v>27</v>
      </c>
    </row>
    <row r="883" spans="2:7" x14ac:dyDescent="0.25">
      <c r="B883" s="29" t="s">
        <v>29</v>
      </c>
      <c r="C883" s="107" t="s">
        <v>329</v>
      </c>
      <c r="D883" s="45">
        <v>0</v>
      </c>
      <c r="E883" s="123">
        <v>0</v>
      </c>
      <c r="F883" s="123"/>
      <c r="G883" s="90">
        <v>0</v>
      </c>
    </row>
    <row r="884" spans="2:7" x14ac:dyDescent="0.25">
      <c r="B884" s="47"/>
      <c r="C884" s="112" t="s">
        <v>330</v>
      </c>
      <c r="D884" s="50">
        <v>0</v>
      </c>
      <c r="E884" s="50">
        <v>0</v>
      </c>
      <c r="F884" s="50"/>
      <c r="G884" s="94"/>
    </row>
    <row r="885" spans="2:7" x14ac:dyDescent="0.25">
      <c r="B885" s="29" t="s">
        <v>32</v>
      </c>
      <c r="C885" s="30" t="s">
        <v>331</v>
      </c>
      <c r="D885" s="32">
        <v>0</v>
      </c>
      <c r="E885" s="32">
        <v>0</v>
      </c>
      <c r="F885" s="32"/>
      <c r="G885" s="90">
        <v>3</v>
      </c>
    </row>
    <row r="886" spans="2:7" x14ac:dyDescent="0.25">
      <c r="B886" s="42"/>
      <c r="C886" s="30" t="s">
        <v>332</v>
      </c>
      <c r="D886" s="40">
        <v>2</v>
      </c>
      <c r="E886" s="32">
        <v>0</v>
      </c>
      <c r="F886" s="32"/>
      <c r="G886" s="96"/>
    </row>
    <row r="887" spans="2:7" x14ac:dyDescent="0.25">
      <c r="B887" s="42"/>
      <c r="C887" s="30">
        <v>1</v>
      </c>
      <c r="D887" s="32">
        <v>0</v>
      </c>
      <c r="E887" s="32">
        <v>0</v>
      </c>
      <c r="F887" s="32"/>
      <c r="G887" s="96"/>
    </row>
    <row r="888" spans="2:7" x14ac:dyDescent="0.25">
      <c r="B888" s="42"/>
      <c r="C888" s="30">
        <v>2</v>
      </c>
      <c r="D888" s="32">
        <v>0</v>
      </c>
      <c r="E888" s="32">
        <v>0</v>
      </c>
      <c r="F888" s="32"/>
      <c r="G888" s="96"/>
    </row>
    <row r="889" spans="2:7" x14ac:dyDescent="0.25">
      <c r="B889" s="42"/>
      <c r="C889" s="30">
        <v>4</v>
      </c>
      <c r="D889" s="32">
        <v>0</v>
      </c>
      <c r="E889" s="32">
        <v>0</v>
      </c>
      <c r="F889" s="32"/>
      <c r="G889" s="96"/>
    </row>
    <row r="890" spans="2:7" x14ac:dyDescent="0.25">
      <c r="B890" s="42"/>
      <c r="C890" s="30">
        <v>8</v>
      </c>
      <c r="D890" s="32">
        <v>0</v>
      </c>
      <c r="E890" s="32">
        <v>0</v>
      </c>
      <c r="F890" s="32"/>
      <c r="G890" s="96"/>
    </row>
    <row r="891" spans="2:7" x14ac:dyDescent="0.25">
      <c r="B891" s="47"/>
      <c r="C891" s="30" t="s">
        <v>61</v>
      </c>
      <c r="D891" s="40">
        <v>1</v>
      </c>
      <c r="E891" s="32">
        <v>0</v>
      </c>
      <c r="F891" s="32"/>
      <c r="G891" s="94"/>
    </row>
    <row r="892" spans="2:7" ht="15.75" thickBot="1" x14ac:dyDescent="0.3">
      <c r="B892" s="476"/>
      <c r="C892" s="477"/>
      <c r="D892" s="478">
        <v>3</v>
      </c>
      <c r="E892" s="478">
        <v>0</v>
      </c>
      <c r="F892" s="478"/>
      <c r="G892" s="479">
        <v>3</v>
      </c>
    </row>
    <row r="894" spans="2:7" ht="19.5" thickBot="1" x14ac:dyDescent="0.35">
      <c r="B894" s="9" t="s">
        <v>333</v>
      </c>
      <c r="C894" s="78"/>
      <c r="D894" s="12"/>
    </row>
    <row r="895" spans="2:7" x14ac:dyDescent="0.25">
      <c r="B895" s="20" t="s">
        <v>22</v>
      </c>
      <c r="C895" s="21" t="s">
        <v>23</v>
      </c>
      <c r="D895" s="21" t="s">
        <v>24</v>
      </c>
      <c r="E895" s="21" t="s">
        <v>25</v>
      </c>
      <c r="F895" s="22" t="s">
        <v>26</v>
      </c>
      <c r="G895" s="23" t="s">
        <v>27</v>
      </c>
    </row>
    <row r="896" spans="2:7" x14ac:dyDescent="0.25">
      <c r="B896" s="463" t="s">
        <v>31</v>
      </c>
      <c r="C896" s="464" t="s">
        <v>82</v>
      </c>
      <c r="D896" s="480">
        <v>2</v>
      </c>
      <c r="E896" s="27">
        <v>0</v>
      </c>
      <c r="F896" s="27"/>
      <c r="G896" s="158">
        <v>2</v>
      </c>
    </row>
    <row r="897" spans="2:7" x14ac:dyDescent="0.25">
      <c r="B897" s="29" t="s">
        <v>32</v>
      </c>
      <c r="C897" s="481">
        <v>2</v>
      </c>
      <c r="D897" s="32">
        <v>0</v>
      </c>
      <c r="E897" s="32">
        <v>0</v>
      </c>
      <c r="F897" s="32"/>
      <c r="G897" s="90">
        <v>1</v>
      </c>
    </row>
    <row r="898" spans="2:7" x14ac:dyDescent="0.25">
      <c r="B898" s="47"/>
      <c r="C898" s="30" t="s">
        <v>124</v>
      </c>
      <c r="D898" s="40">
        <v>1</v>
      </c>
      <c r="E898" s="32">
        <v>0</v>
      </c>
      <c r="F898" s="32"/>
      <c r="G898" s="94"/>
    </row>
    <row r="899" spans="2:7" ht="15.75" thickBot="1" x14ac:dyDescent="0.3">
      <c r="B899" s="476"/>
      <c r="C899" s="477"/>
      <c r="D899" s="478">
        <v>3</v>
      </c>
      <c r="E899" s="478">
        <v>0</v>
      </c>
      <c r="F899" s="478"/>
      <c r="G899" s="479">
        <v>3</v>
      </c>
    </row>
    <row r="901" spans="2:7" ht="19.5" thickBot="1" x14ac:dyDescent="0.35">
      <c r="B901" s="9" t="s">
        <v>334</v>
      </c>
      <c r="C901" s="78"/>
      <c r="D901" s="12"/>
    </row>
    <row r="902" spans="2:7" x14ac:dyDescent="0.25">
      <c r="B902" s="20" t="s">
        <v>22</v>
      </c>
      <c r="C902" s="21" t="s">
        <v>23</v>
      </c>
      <c r="D902" s="21" t="s">
        <v>24</v>
      </c>
      <c r="E902" s="21" t="s">
        <v>25</v>
      </c>
      <c r="F902" s="22" t="s">
        <v>26</v>
      </c>
      <c r="G902" s="23" t="s">
        <v>27</v>
      </c>
    </row>
    <row r="903" spans="2:7" x14ac:dyDescent="0.25">
      <c r="B903" s="463" t="s">
        <v>29</v>
      </c>
      <c r="C903" s="464" t="s">
        <v>335</v>
      </c>
      <c r="D903" s="482">
        <v>0</v>
      </c>
      <c r="E903" s="27">
        <v>0</v>
      </c>
      <c r="F903" s="27"/>
      <c r="G903" s="158">
        <v>0</v>
      </c>
    </row>
    <row r="904" spans="2:7" x14ac:dyDescent="0.25">
      <c r="B904" s="29" t="s">
        <v>32</v>
      </c>
      <c r="C904" s="481">
        <v>1</v>
      </c>
      <c r="D904" s="40">
        <v>2</v>
      </c>
      <c r="E904" s="32">
        <v>0</v>
      </c>
      <c r="F904" s="32"/>
      <c r="G904" s="90">
        <v>3</v>
      </c>
    </row>
    <row r="905" spans="2:7" x14ac:dyDescent="0.25">
      <c r="B905" s="42"/>
      <c r="C905" s="30">
        <v>2</v>
      </c>
      <c r="D905" s="32">
        <v>0</v>
      </c>
      <c r="E905" s="32">
        <v>0</v>
      </c>
      <c r="F905" s="32"/>
      <c r="G905" s="96"/>
    </row>
    <row r="906" spans="2:7" x14ac:dyDescent="0.25">
      <c r="B906" s="47"/>
      <c r="C906" s="30" t="s">
        <v>124</v>
      </c>
      <c r="D906" s="32">
        <v>0</v>
      </c>
      <c r="E906" s="31">
        <v>1</v>
      </c>
      <c r="F906" s="32" t="s">
        <v>336</v>
      </c>
      <c r="G906" s="94"/>
    </row>
    <row r="907" spans="2:7" ht="15.75" thickBot="1" x14ac:dyDescent="0.3">
      <c r="B907" s="476"/>
      <c r="C907" s="477"/>
      <c r="D907" s="478">
        <v>2</v>
      </c>
      <c r="E907" s="478">
        <v>1</v>
      </c>
      <c r="F907" s="478"/>
      <c r="G907" s="479">
        <v>3</v>
      </c>
    </row>
    <row r="909" spans="2:7" ht="19.5" thickBot="1" x14ac:dyDescent="0.35">
      <c r="B909" s="9" t="s">
        <v>44</v>
      </c>
      <c r="C909" s="78"/>
      <c r="D909" s="12"/>
    </row>
    <row r="910" spans="2:7" x14ac:dyDescent="0.25">
      <c r="B910" s="20" t="s">
        <v>22</v>
      </c>
      <c r="C910" s="21" t="s">
        <v>23</v>
      </c>
      <c r="D910" s="21" t="s">
        <v>24</v>
      </c>
      <c r="E910" s="21" t="s">
        <v>25</v>
      </c>
      <c r="F910" s="22" t="s">
        <v>26</v>
      </c>
      <c r="G910" s="23" t="s">
        <v>27</v>
      </c>
    </row>
    <row r="911" spans="2:7" x14ac:dyDescent="0.25">
      <c r="B911" s="463" t="s">
        <v>29</v>
      </c>
      <c r="C911" s="464" t="s">
        <v>93</v>
      </c>
      <c r="D911" s="480">
        <v>2</v>
      </c>
      <c r="E911" s="27">
        <v>0</v>
      </c>
      <c r="F911" s="27"/>
      <c r="G911" s="158">
        <v>2</v>
      </c>
    </row>
    <row r="912" spans="2:7" x14ac:dyDescent="0.25">
      <c r="B912" s="29" t="s">
        <v>32</v>
      </c>
      <c r="C912" s="481">
        <v>4</v>
      </c>
      <c r="D912" s="32">
        <v>0</v>
      </c>
      <c r="E912" s="32">
        <v>0</v>
      </c>
      <c r="F912" s="32"/>
      <c r="G912" s="90">
        <v>1</v>
      </c>
    </row>
    <row r="913" spans="2:13" x14ac:dyDescent="0.25">
      <c r="B913" s="42"/>
      <c r="C913" s="30">
        <v>8</v>
      </c>
      <c r="D913" s="32">
        <v>0</v>
      </c>
      <c r="E913" s="32">
        <v>0</v>
      </c>
      <c r="F913" s="32"/>
      <c r="G913" s="96"/>
    </row>
    <row r="914" spans="2:13" x14ac:dyDescent="0.25">
      <c r="B914" s="42"/>
      <c r="C914" s="481">
        <v>16</v>
      </c>
      <c r="D914" s="32">
        <v>0</v>
      </c>
      <c r="E914" s="32">
        <v>0</v>
      </c>
      <c r="F914" s="32"/>
      <c r="G914" s="96"/>
    </row>
    <row r="915" spans="2:13" x14ac:dyDescent="0.25">
      <c r="B915" s="47"/>
      <c r="C915" s="30" t="s">
        <v>139</v>
      </c>
      <c r="D915" s="32">
        <v>0</v>
      </c>
      <c r="E915" s="31">
        <v>1</v>
      </c>
      <c r="F915" s="32" t="s">
        <v>337</v>
      </c>
      <c r="G915" s="94"/>
    </row>
    <row r="916" spans="2:13" ht="15.75" thickBot="1" x14ac:dyDescent="0.3">
      <c r="B916" s="476"/>
      <c r="C916" s="477"/>
      <c r="D916" s="478">
        <v>2</v>
      </c>
      <c r="E916" s="478">
        <v>1</v>
      </c>
      <c r="F916" s="478"/>
      <c r="G916" s="479">
        <v>3</v>
      </c>
    </row>
    <row r="918" spans="2:13" ht="19.5" thickBot="1" x14ac:dyDescent="0.35">
      <c r="B918" s="9" t="s">
        <v>98</v>
      </c>
      <c r="C918" s="78"/>
      <c r="D918" s="12"/>
    </row>
    <row r="919" spans="2:13" x14ac:dyDescent="0.25">
      <c r="B919" s="20" t="s">
        <v>22</v>
      </c>
      <c r="C919" s="21" t="s">
        <v>23</v>
      </c>
      <c r="D919" s="21" t="s">
        <v>24</v>
      </c>
      <c r="E919" s="21" t="s">
        <v>25</v>
      </c>
      <c r="F919" s="22" t="s">
        <v>26</v>
      </c>
      <c r="G919" s="23" t="s">
        <v>27</v>
      </c>
    </row>
    <row r="920" spans="2:13" x14ac:dyDescent="0.25">
      <c r="B920" s="29" t="s">
        <v>29</v>
      </c>
      <c r="C920" s="107" t="s">
        <v>338</v>
      </c>
      <c r="D920" s="45">
        <v>0</v>
      </c>
      <c r="E920" s="123">
        <v>0</v>
      </c>
      <c r="F920" s="123"/>
      <c r="G920" s="90">
        <v>3</v>
      </c>
    </row>
    <row r="921" spans="2:13" x14ac:dyDescent="0.25">
      <c r="B921" s="42"/>
      <c r="C921" s="481" t="s">
        <v>332</v>
      </c>
      <c r="D921" s="31">
        <v>3</v>
      </c>
      <c r="E921" s="32">
        <v>0</v>
      </c>
      <c r="F921" s="32"/>
      <c r="G921" s="96"/>
      <c r="M921" s="78"/>
    </row>
    <row r="922" spans="2:13" x14ac:dyDescent="0.25">
      <c r="B922" s="42"/>
      <c r="C922" s="30">
        <v>1</v>
      </c>
      <c r="D922" s="32">
        <v>0</v>
      </c>
      <c r="E922" s="32">
        <v>0</v>
      </c>
      <c r="F922" s="32"/>
      <c r="G922" s="96"/>
      <c r="M922" s="78"/>
    </row>
    <row r="923" spans="2:13" x14ac:dyDescent="0.25">
      <c r="B923" s="47"/>
      <c r="C923" s="112">
        <v>2</v>
      </c>
      <c r="D923" s="50">
        <v>0</v>
      </c>
      <c r="E923" s="50">
        <v>0</v>
      </c>
      <c r="F923" s="50"/>
      <c r="G923" s="94"/>
      <c r="M923" s="78"/>
    </row>
    <row r="924" spans="2:13" x14ac:dyDescent="0.25">
      <c r="B924" s="29" t="s">
        <v>32</v>
      </c>
      <c r="C924" s="481">
        <v>4</v>
      </c>
      <c r="D924" s="32">
        <v>0</v>
      </c>
      <c r="E924" s="32">
        <v>0</v>
      </c>
      <c r="F924" s="32"/>
      <c r="G924" s="90">
        <v>0</v>
      </c>
      <c r="M924" s="78"/>
    </row>
    <row r="925" spans="2:13" x14ac:dyDescent="0.25">
      <c r="B925" s="42"/>
      <c r="C925" s="481">
        <v>8</v>
      </c>
      <c r="D925" s="32">
        <v>0</v>
      </c>
      <c r="E925" s="32">
        <v>0</v>
      </c>
      <c r="F925" s="32"/>
      <c r="G925" s="96"/>
      <c r="M925" s="78"/>
    </row>
    <row r="926" spans="2:13" x14ac:dyDescent="0.25">
      <c r="B926" s="42"/>
      <c r="C926" s="481">
        <v>16</v>
      </c>
      <c r="D926" s="32">
        <v>0</v>
      </c>
      <c r="E926" s="32">
        <v>0</v>
      </c>
      <c r="F926" s="32"/>
      <c r="G926" s="96"/>
      <c r="M926" s="78"/>
    </row>
    <row r="927" spans="2:13" x14ac:dyDescent="0.25">
      <c r="B927" s="42"/>
      <c r="C927" s="481">
        <v>32</v>
      </c>
      <c r="D927" s="32">
        <v>0</v>
      </c>
      <c r="E927" s="32">
        <v>0</v>
      </c>
      <c r="F927" s="32"/>
      <c r="G927" s="96"/>
      <c r="M927" s="78"/>
    </row>
    <row r="928" spans="2:13" x14ac:dyDescent="0.25">
      <c r="B928" s="47"/>
      <c r="C928" s="30" t="s">
        <v>339</v>
      </c>
      <c r="D928" s="32">
        <v>0</v>
      </c>
      <c r="E928" s="32">
        <v>0</v>
      </c>
      <c r="F928" s="32"/>
      <c r="G928" s="94"/>
      <c r="M928" s="78"/>
    </row>
    <row r="929" spans="2:14" ht="15.75" thickBot="1" x14ac:dyDescent="0.3">
      <c r="B929" s="476"/>
      <c r="C929" s="477"/>
      <c r="D929" s="478">
        <v>3</v>
      </c>
      <c r="E929" s="478">
        <v>0</v>
      </c>
      <c r="F929" s="478"/>
      <c r="G929" s="479">
        <v>3</v>
      </c>
      <c r="M929" s="78"/>
    </row>
    <row r="930" spans="2:14" x14ac:dyDescent="0.25">
      <c r="M930" s="78"/>
    </row>
    <row r="931" spans="2:14" ht="19.5" thickBot="1" x14ac:dyDescent="0.35">
      <c r="B931" s="9" t="s">
        <v>193</v>
      </c>
      <c r="C931" s="78"/>
      <c r="D931" s="12"/>
      <c r="J931" s="78"/>
      <c r="M931" s="78"/>
      <c r="N931" s="78"/>
    </row>
    <row r="932" spans="2:14" x14ac:dyDescent="0.25">
      <c r="B932" s="20" t="s">
        <v>22</v>
      </c>
      <c r="C932" s="21" t="s">
        <v>23</v>
      </c>
      <c r="D932" s="21" t="s">
        <v>24</v>
      </c>
      <c r="E932" s="21" t="s">
        <v>25</v>
      </c>
      <c r="F932" s="22" t="s">
        <v>26</v>
      </c>
      <c r="G932" s="23" t="s">
        <v>27</v>
      </c>
      <c r="J932" s="78"/>
      <c r="L932" s="78"/>
      <c r="M932" s="78"/>
      <c r="N932" s="78"/>
    </row>
    <row r="933" spans="2:14" x14ac:dyDescent="0.25">
      <c r="B933" s="29" t="s">
        <v>29</v>
      </c>
      <c r="C933" s="107" t="s">
        <v>82</v>
      </c>
      <c r="D933" s="31">
        <v>3</v>
      </c>
      <c r="E933" s="123">
        <v>0</v>
      </c>
      <c r="F933" s="123"/>
      <c r="G933" s="90">
        <v>3</v>
      </c>
      <c r="J933" s="78"/>
      <c r="L933" s="78"/>
      <c r="M933" s="78"/>
      <c r="N933" s="78"/>
    </row>
    <row r="934" spans="2:14" x14ac:dyDescent="0.25">
      <c r="B934" s="47"/>
      <c r="C934" s="112">
        <v>2</v>
      </c>
      <c r="D934" s="50">
        <v>0</v>
      </c>
      <c r="E934" s="50">
        <v>0</v>
      </c>
      <c r="F934" s="50"/>
      <c r="G934" s="94"/>
      <c r="J934" s="78"/>
      <c r="L934" s="78"/>
      <c r="M934" s="78"/>
      <c r="N934" s="78"/>
    </row>
    <row r="935" spans="2:14" x14ac:dyDescent="0.25">
      <c r="B935" s="29" t="s">
        <v>32</v>
      </c>
      <c r="C935" s="30">
        <v>4</v>
      </c>
      <c r="D935" s="32">
        <v>0</v>
      </c>
      <c r="E935" s="32">
        <v>0</v>
      </c>
      <c r="F935" s="32"/>
      <c r="G935" s="90">
        <v>0</v>
      </c>
      <c r="J935" s="78"/>
      <c r="L935" s="78"/>
      <c r="M935" s="78"/>
      <c r="N935" s="78"/>
    </row>
    <row r="936" spans="2:14" x14ac:dyDescent="0.25">
      <c r="B936" s="42"/>
      <c r="C936" s="481">
        <v>8</v>
      </c>
      <c r="D936" s="32">
        <v>0</v>
      </c>
      <c r="E936" s="32">
        <v>0</v>
      </c>
      <c r="F936" s="32"/>
      <c r="G936" s="96"/>
      <c r="J936" s="78"/>
      <c r="L936" s="78"/>
      <c r="M936" s="78"/>
      <c r="N936" s="78"/>
    </row>
    <row r="937" spans="2:14" x14ac:dyDescent="0.25">
      <c r="B937" s="47"/>
      <c r="C937" s="30" t="s">
        <v>61</v>
      </c>
      <c r="D937" s="32">
        <v>0</v>
      </c>
      <c r="E937" s="32">
        <v>0</v>
      </c>
      <c r="F937" s="32"/>
      <c r="G937" s="94"/>
      <c r="J937" s="78"/>
      <c r="L937" s="78"/>
      <c r="M937" s="78"/>
      <c r="N937" s="78"/>
    </row>
    <row r="938" spans="2:14" ht="15.75" thickBot="1" x14ac:dyDescent="0.3">
      <c r="B938" s="476"/>
      <c r="C938" s="477"/>
      <c r="D938" s="478">
        <v>3</v>
      </c>
      <c r="E938" s="478">
        <v>0</v>
      </c>
      <c r="F938" s="478"/>
      <c r="G938" s="479">
        <v>3</v>
      </c>
      <c r="J938" s="78"/>
      <c r="L938" s="78"/>
      <c r="M938" s="78"/>
      <c r="N938" s="78"/>
    </row>
    <row r="939" spans="2:14" x14ac:dyDescent="0.25">
      <c r="J939" s="78"/>
      <c r="L939" s="78"/>
      <c r="M939" s="78"/>
      <c r="N939" s="78"/>
    </row>
    <row r="940" spans="2:14" ht="19.5" thickBot="1" x14ac:dyDescent="0.35">
      <c r="B940" s="9" t="s">
        <v>340</v>
      </c>
      <c r="C940" s="78"/>
      <c r="D940" s="12"/>
      <c r="J940" s="78"/>
      <c r="L940" s="78"/>
      <c r="M940" s="78"/>
      <c r="N940" s="78"/>
    </row>
    <row r="941" spans="2:14" x14ac:dyDescent="0.25">
      <c r="B941" s="20" t="s">
        <v>22</v>
      </c>
      <c r="C941" s="21" t="s">
        <v>23</v>
      </c>
      <c r="D941" s="21" t="s">
        <v>24</v>
      </c>
      <c r="E941" s="21" t="s">
        <v>25</v>
      </c>
      <c r="F941" s="22" t="s">
        <v>26</v>
      </c>
      <c r="G941" s="23" t="s">
        <v>27</v>
      </c>
      <c r="J941" s="78"/>
      <c r="L941" s="78"/>
      <c r="M941" s="78"/>
      <c r="N941" s="78"/>
    </row>
    <row r="942" spans="2:14" x14ac:dyDescent="0.25">
      <c r="B942" s="463" t="s">
        <v>341</v>
      </c>
      <c r="C942" s="464" t="s">
        <v>335</v>
      </c>
      <c r="D942" s="480">
        <v>3</v>
      </c>
      <c r="E942" s="27">
        <v>0</v>
      </c>
      <c r="F942" s="27"/>
      <c r="G942" s="158">
        <v>3</v>
      </c>
      <c r="J942" s="78"/>
      <c r="L942" s="78"/>
      <c r="M942" s="78"/>
      <c r="N942" s="78"/>
    </row>
    <row r="943" spans="2:14" x14ac:dyDescent="0.25">
      <c r="B943" s="29" t="s">
        <v>32</v>
      </c>
      <c r="C943" s="481">
        <v>1</v>
      </c>
      <c r="D943" s="32">
        <v>0</v>
      </c>
      <c r="E943" s="32">
        <v>0</v>
      </c>
      <c r="F943" s="32"/>
      <c r="G943" s="90">
        <v>0</v>
      </c>
      <c r="J943" s="78"/>
      <c r="L943" s="78"/>
      <c r="M943" s="78"/>
      <c r="N943" s="78"/>
    </row>
    <row r="944" spans="2:14" x14ac:dyDescent="0.25">
      <c r="B944" s="42"/>
      <c r="C944" s="30">
        <v>2</v>
      </c>
      <c r="D944" s="32">
        <v>0</v>
      </c>
      <c r="E944" s="32">
        <v>0</v>
      </c>
      <c r="F944" s="32"/>
      <c r="G944" s="96"/>
      <c r="J944" s="78"/>
      <c r="L944" s="78"/>
      <c r="M944" s="78"/>
      <c r="N944" s="78"/>
    </row>
    <row r="945" spans="2:14" x14ac:dyDescent="0.25">
      <c r="B945" s="42"/>
      <c r="C945" s="481">
        <v>4</v>
      </c>
      <c r="D945" s="32">
        <v>0</v>
      </c>
      <c r="E945" s="32">
        <v>0</v>
      </c>
      <c r="F945" s="32"/>
      <c r="G945" s="96"/>
      <c r="J945" s="78"/>
      <c r="L945" s="78"/>
      <c r="M945" s="78"/>
      <c r="N945" s="78"/>
    </row>
    <row r="946" spans="2:14" x14ac:dyDescent="0.25">
      <c r="B946" s="47"/>
      <c r="C946" s="30" t="s">
        <v>119</v>
      </c>
      <c r="D946" s="32">
        <v>0</v>
      </c>
      <c r="E946" s="32">
        <v>0</v>
      </c>
      <c r="F946" s="32"/>
      <c r="G946" s="94"/>
      <c r="J946" s="78"/>
      <c r="L946" s="78"/>
      <c r="M946" s="78"/>
      <c r="N946" s="78"/>
    </row>
    <row r="947" spans="2:14" ht="15.75" thickBot="1" x14ac:dyDescent="0.3">
      <c r="B947" s="476"/>
      <c r="C947" s="477"/>
      <c r="D947" s="478">
        <v>3</v>
      </c>
      <c r="E947" s="478">
        <v>0</v>
      </c>
      <c r="F947" s="478"/>
      <c r="G947" s="479">
        <v>3</v>
      </c>
    </row>
    <row r="948" spans="2:14" x14ac:dyDescent="0.25">
      <c r="C948" s="78"/>
    </row>
    <row r="949" spans="2:14" ht="18.75" x14ac:dyDescent="0.3">
      <c r="B949" s="9" t="s">
        <v>342</v>
      </c>
    </row>
    <row r="950" spans="2:14" x14ac:dyDescent="0.25">
      <c r="B950" s="25"/>
      <c r="C950" s="26" t="s">
        <v>24</v>
      </c>
      <c r="D950" s="27" t="s">
        <v>25</v>
      </c>
      <c r="E950" s="27" t="s">
        <v>27</v>
      </c>
      <c r="F950" s="28" t="s">
        <v>28</v>
      </c>
    </row>
    <row r="951" spans="2:14" x14ac:dyDescent="0.25">
      <c r="B951" s="38" t="s">
        <v>109</v>
      </c>
      <c r="C951" s="39">
        <v>13</v>
      </c>
      <c r="D951" s="40">
        <v>0</v>
      </c>
      <c r="E951" s="32">
        <f>SUM(C951,D951)</f>
        <v>13</v>
      </c>
      <c r="F951" s="41">
        <f>E951/E953*100</f>
        <v>61.904761904761905</v>
      </c>
    </row>
    <row r="952" spans="2:14" x14ac:dyDescent="0.25">
      <c r="B952" s="56" t="s">
        <v>110</v>
      </c>
      <c r="C952" s="57">
        <v>6</v>
      </c>
      <c r="D952" s="58">
        <v>2</v>
      </c>
      <c r="E952" s="50">
        <f>SUM(C952,D952)</f>
        <v>8</v>
      </c>
      <c r="F952" s="59">
        <f>E952/E953*100</f>
        <v>38.095238095238095</v>
      </c>
    </row>
    <row r="953" spans="2:14" x14ac:dyDescent="0.25">
      <c r="B953" s="56" t="s">
        <v>27</v>
      </c>
      <c r="C953" s="64">
        <f>SUM(C951,C952)</f>
        <v>19</v>
      </c>
      <c r="D953" s="50">
        <f>SUM(D951,D952)</f>
        <v>2</v>
      </c>
      <c r="E953" s="50">
        <f>SUM(C951:D952)</f>
        <v>21</v>
      </c>
      <c r="F953" s="59"/>
    </row>
    <row r="954" spans="2:14" x14ac:dyDescent="0.25">
      <c r="B954" s="56" t="s">
        <v>28</v>
      </c>
      <c r="C954" s="64">
        <f>C953/E953*100</f>
        <v>90.476190476190482</v>
      </c>
      <c r="D954" s="59">
        <f>D953/E953*100</f>
        <v>9.5238095238095237</v>
      </c>
      <c r="E954" s="59"/>
      <c r="F954" s="59"/>
    </row>
    <row r="957" spans="2:14" ht="18.75" x14ac:dyDescent="0.3">
      <c r="B957" s="9" t="s">
        <v>111</v>
      </c>
      <c r="F957" s="12"/>
    </row>
    <row r="958" spans="2:14" x14ac:dyDescent="0.25">
      <c r="B958" s="180" t="s">
        <v>112</v>
      </c>
    </row>
    <row r="960" spans="2:14" x14ac:dyDescent="0.25">
      <c r="B960" s="181" t="s">
        <v>121</v>
      </c>
      <c r="C960" s="1" t="s">
        <v>343</v>
      </c>
    </row>
    <row r="961" spans="2:16" x14ac:dyDescent="0.25">
      <c r="B961" s="25" t="s">
        <v>22</v>
      </c>
      <c r="C961" s="483" t="s">
        <v>23</v>
      </c>
      <c r="D961" s="25" t="s">
        <v>117</v>
      </c>
    </row>
    <row r="962" spans="2:16" x14ac:dyDescent="0.25">
      <c r="B962" s="189" t="s">
        <v>29</v>
      </c>
      <c r="C962" s="208" t="s">
        <v>123</v>
      </c>
      <c r="D962" s="38">
        <v>2</v>
      </c>
    </row>
    <row r="963" spans="2:16" x14ac:dyDescent="0.25">
      <c r="B963" s="190"/>
      <c r="C963" s="186">
        <v>0.5</v>
      </c>
      <c r="D963" s="56">
        <v>0</v>
      </c>
    </row>
    <row r="964" spans="2:16" x14ac:dyDescent="0.25">
      <c r="B964" s="189" t="s">
        <v>32</v>
      </c>
      <c r="C964" s="208">
        <v>1</v>
      </c>
      <c r="D964" s="38">
        <v>0</v>
      </c>
    </row>
    <row r="965" spans="2:16" x14ac:dyDescent="0.25">
      <c r="B965" s="191"/>
      <c r="C965" s="208">
        <v>2</v>
      </c>
      <c r="D965" s="195">
        <v>1</v>
      </c>
    </row>
    <row r="966" spans="2:16" x14ac:dyDescent="0.25">
      <c r="B966" s="191"/>
      <c r="C966" s="208">
        <v>4</v>
      </c>
      <c r="D966" s="38">
        <v>0</v>
      </c>
    </row>
    <row r="967" spans="2:16" x14ac:dyDescent="0.25">
      <c r="B967" s="190"/>
      <c r="C967" s="186" t="s">
        <v>119</v>
      </c>
      <c r="D967" s="56">
        <v>0</v>
      </c>
    </row>
    <row r="970" spans="2:16" ht="18.75" x14ac:dyDescent="0.3">
      <c r="B970" s="214" t="s">
        <v>131</v>
      </c>
    </row>
    <row r="971" spans="2:16" x14ac:dyDescent="0.25">
      <c r="B971" s="78" t="s">
        <v>344</v>
      </c>
    </row>
    <row r="973" spans="2:16" x14ac:dyDescent="0.25">
      <c r="B973" s="26" t="s">
        <v>345</v>
      </c>
      <c r="C973" s="448" t="s">
        <v>346</v>
      </c>
      <c r="D973" s="448" t="s">
        <v>347</v>
      </c>
      <c r="E973" s="448" t="s">
        <v>303</v>
      </c>
      <c r="F973" s="448" t="s">
        <v>120</v>
      </c>
      <c r="G973" s="448" t="s">
        <v>265</v>
      </c>
      <c r="H973" s="448" t="s">
        <v>113</v>
      </c>
      <c r="I973" s="448" t="s">
        <v>280</v>
      </c>
      <c r="J973" s="448" t="s">
        <v>287</v>
      </c>
      <c r="K973" s="448" t="s">
        <v>324</v>
      </c>
      <c r="L973" s="448" t="s">
        <v>290</v>
      </c>
      <c r="M973" s="448" t="s">
        <v>348</v>
      </c>
      <c r="N973" s="448" t="s">
        <v>349</v>
      </c>
      <c r="O973" s="448" t="s">
        <v>350</v>
      </c>
      <c r="P973" s="448" t="s">
        <v>260</v>
      </c>
    </row>
    <row r="974" spans="2:16" x14ac:dyDescent="0.25">
      <c r="B974" s="26" t="s">
        <v>351</v>
      </c>
      <c r="C974" s="448" t="s">
        <v>352</v>
      </c>
      <c r="D974" s="448" t="s">
        <v>353</v>
      </c>
      <c r="E974" s="448" t="s">
        <v>354</v>
      </c>
      <c r="F974" s="448" t="s">
        <v>354</v>
      </c>
      <c r="G974" s="448" t="s">
        <v>354</v>
      </c>
      <c r="H974" s="448" t="s">
        <v>355</v>
      </c>
      <c r="I974" s="448" t="s">
        <v>355</v>
      </c>
      <c r="J974" s="448" t="s">
        <v>356</v>
      </c>
      <c r="K974" s="448" t="s">
        <v>357</v>
      </c>
      <c r="L974" s="448" t="s">
        <v>356</v>
      </c>
      <c r="M974" s="448" t="s">
        <v>358</v>
      </c>
      <c r="N974" s="448" t="s">
        <v>358</v>
      </c>
      <c r="O974" s="448" t="s">
        <v>355</v>
      </c>
      <c r="P974" s="448" t="s">
        <v>359</v>
      </c>
    </row>
    <row r="975" spans="2:16" x14ac:dyDescent="0.25">
      <c r="B975" s="26" t="s">
        <v>360</v>
      </c>
      <c r="C975" s="448" t="s">
        <v>130</v>
      </c>
      <c r="D975" s="448" t="s">
        <v>130</v>
      </c>
      <c r="E975" s="448" t="s">
        <v>130</v>
      </c>
      <c r="F975" s="448" t="s">
        <v>130</v>
      </c>
      <c r="G975" s="448" t="s">
        <v>130</v>
      </c>
      <c r="H975" s="448" t="s">
        <v>130</v>
      </c>
      <c r="I975" s="448" t="s">
        <v>130</v>
      </c>
      <c r="J975" s="448" t="s">
        <v>130</v>
      </c>
      <c r="K975" s="448" t="s">
        <v>130</v>
      </c>
      <c r="L975" s="448" t="s">
        <v>130</v>
      </c>
      <c r="M975" s="448" t="s">
        <v>130</v>
      </c>
      <c r="N975" s="448" t="s">
        <v>130</v>
      </c>
      <c r="O975" s="448" t="s">
        <v>130</v>
      </c>
      <c r="P975" s="448" t="s">
        <v>130</v>
      </c>
    </row>
    <row r="976" spans="2:16" s="78" customFormat="1" x14ac:dyDescent="0.25">
      <c r="B976" s="484" t="s">
        <v>361</v>
      </c>
      <c r="C976" s="78">
        <v>0.5</v>
      </c>
      <c r="D976" s="78" t="s">
        <v>362</v>
      </c>
      <c r="E976" s="78">
        <v>4</v>
      </c>
      <c r="F976" s="78" t="s">
        <v>363</v>
      </c>
      <c r="G976" s="78" t="s">
        <v>363</v>
      </c>
      <c r="H976" s="78" t="s">
        <v>364</v>
      </c>
      <c r="I976" s="78" t="s">
        <v>365</v>
      </c>
      <c r="J976" s="78" t="s">
        <v>366</v>
      </c>
      <c r="K976" s="78" t="s">
        <v>367</v>
      </c>
      <c r="L976" s="78" t="s">
        <v>366</v>
      </c>
      <c r="M976" s="78" t="s">
        <v>362</v>
      </c>
      <c r="N976" s="78" t="s">
        <v>362</v>
      </c>
      <c r="O976" s="78" t="s">
        <v>364</v>
      </c>
      <c r="P976" s="78" t="s">
        <v>264</v>
      </c>
    </row>
    <row r="977" spans="2:48" s="78" customFormat="1" x14ac:dyDescent="0.25">
      <c r="B977" s="484"/>
      <c r="C977" s="78" t="s">
        <v>368</v>
      </c>
      <c r="D977" s="78" t="s">
        <v>368</v>
      </c>
      <c r="G977" s="78" t="s">
        <v>368</v>
      </c>
      <c r="I977" s="78" t="s">
        <v>368</v>
      </c>
      <c r="J977" s="78" t="s">
        <v>368</v>
      </c>
      <c r="K977" s="78" t="s">
        <v>368</v>
      </c>
      <c r="L977" s="78" t="s">
        <v>368</v>
      </c>
      <c r="M977" s="78" t="s">
        <v>368</v>
      </c>
      <c r="N977" s="78" t="s">
        <v>368</v>
      </c>
      <c r="O977" s="78" t="s">
        <v>368</v>
      </c>
    </row>
    <row r="978" spans="2:48" s="78" customFormat="1" x14ac:dyDescent="0.25">
      <c r="B978" s="484"/>
      <c r="C978" s="485">
        <v>0.5</v>
      </c>
      <c r="D978" s="485" t="s">
        <v>362</v>
      </c>
      <c r="E978" s="485">
        <v>4</v>
      </c>
      <c r="F978" s="485" t="s">
        <v>363</v>
      </c>
      <c r="G978" s="485" t="s">
        <v>363</v>
      </c>
      <c r="H978" s="485" t="s">
        <v>364</v>
      </c>
      <c r="I978" s="485" t="s">
        <v>365</v>
      </c>
      <c r="J978" s="485" t="s">
        <v>366</v>
      </c>
      <c r="K978" s="485" t="s">
        <v>367</v>
      </c>
      <c r="L978" s="485" t="s">
        <v>366</v>
      </c>
      <c r="M978" s="485" t="s">
        <v>362</v>
      </c>
      <c r="N978" s="485" t="s">
        <v>362</v>
      </c>
      <c r="O978" s="485" t="s">
        <v>364</v>
      </c>
      <c r="P978" s="485" t="s">
        <v>264</v>
      </c>
    </row>
    <row r="979" spans="2:48" s="78" customFormat="1" x14ac:dyDescent="0.25">
      <c r="B979" s="484"/>
      <c r="C979" s="78" t="s">
        <v>368</v>
      </c>
      <c r="D979" s="78" t="s">
        <v>368</v>
      </c>
      <c r="G979" s="78" t="s">
        <v>368</v>
      </c>
      <c r="I979" s="78" t="s">
        <v>368</v>
      </c>
      <c r="J979" s="78" t="s">
        <v>368</v>
      </c>
      <c r="K979" s="78" t="s">
        <v>368</v>
      </c>
      <c r="L979" s="78" t="s">
        <v>368</v>
      </c>
      <c r="M979" s="78" t="s">
        <v>368</v>
      </c>
      <c r="N979" s="78" t="s">
        <v>368</v>
      </c>
      <c r="O979" s="78" t="s">
        <v>368</v>
      </c>
    </row>
    <row r="980" spans="2:48" s="78" customFormat="1" x14ac:dyDescent="0.25">
      <c r="B980" s="484"/>
      <c r="C980" s="486" t="s">
        <v>61</v>
      </c>
      <c r="D980" s="486" t="s">
        <v>369</v>
      </c>
      <c r="E980" s="486" t="s">
        <v>119</v>
      </c>
      <c r="F980" s="486">
        <v>4</v>
      </c>
      <c r="G980" s="486" t="s">
        <v>119</v>
      </c>
      <c r="H980" s="486" t="s">
        <v>364</v>
      </c>
      <c r="I980" s="486" t="s">
        <v>370</v>
      </c>
      <c r="J980" s="486" t="s">
        <v>139</v>
      </c>
      <c r="K980" s="486">
        <v>0.25</v>
      </c>
      <c r="L980" s="486" t="s">
        <v>366</v>
      </c>
      <c r="M980" s="486" t="s">
        <v>362</v>
      </c>
      <c r="N980" s="486" t="s">
        <v>362</v>
      </c>
      <c r="O980" s="486" t="s">
        <v>364</v>
      </c>
      <c r="P980" s="486" t="s">
        <v>264</v>
      </c>
    </row>
    <row r="981" spans="2:48" s="78" customFormat="1" x14ac:dyDescent="0.25">
      <c r="B981" s="487"/>
      <c r="C981" s="488" t="s">
        <v>368</v>
      </c>
      <c r="D981" s="488" t="s">
        <v>368</v>
      </c>
      <c r="E981" s="488"/>
      <c r="F981" s="488"/>
      <c r="G981" s="488" t="s">
        <v>371</v>
      </c>
      <c r="H981" s="488"/>
      <c r="I981" s="488" t="s">
        <v>368</v>
      </c>
      <c r="J981" s="488" t="s">
        <v>372</v>
      </c>
      <c r="K981" s="488" t="s">
        <v>368</v>
      </c>
      <c r="L981" s="488" t="s">
        <v>368</v>
      </c>
      <c r="M981" s="488" t="s">
        <v>368</v>
      </c>
      <c r="N981" s="488" t="s">
        <v>373</v>
      </c>
      <c r="O981" s="488" t="s">
        <v>374</v>
      </c>
      <c r="P981" s="488"/>
    </row>
    <row r="983" spans="2:48" s="7" customFormat="1" ht="18.75" x14ac:dyDescent="0.3">
      <c r="B983" s="8" t="s">
        <v>375</v>
      </c>
    </row>
    <row r="985" spans="2:48" ht="18.75" x14ac:dyDescent="0.3">
      <c r="B985" s="9" t="s">
        <v>376</v>
      </c>
      <c r="I985" s="9" t="s">
        <v>377</v>
      </c>
      <c r="P985" s="9" t="s">
        <v>378</v>
      </c>
      <c r="U985" s="239"/>
      <c r="W985" s="9" t="s">
        <v>379</v>
      </c>
      <c r="AD985" s="9" t="s">
        <v>380</v>
      </c>
      <c r="AK985" s="9" t="s">
        <v>381</v>
      </c>
    </row>
    <row r="986" spans="2:48" x14ac:dyDescent="0.25">
      <c r="I986" t="s">
        <v>382</v>
      </c>
      <c r="P986" t="s">
        <v>383</v>
      </c>
      <c r="U986" s="239"/>
      <c r="W986" t="s">
        <v>384</v>
      </c>
      <c r="AK986" t="s">
        <v>385</v>
      </c>
    </row>
    <row r="988" spans="2:48" ht="19.5" thickBot="1" x14ac:dyDescent="0.35">
      <c r="B988" s="9" t="s">
        <v>242</v>
      </c>
      <c r="D988" s="12"/>
      <c r="I988" s="489" t="s">
        <v>386</v>
      </c>
      <c r="J988" s="490"/>
      <c r="K988" s="490"/>
      <c r="L988" s="490"/>
      <c r="M988" s="490"/>
      <c r="N988" s="490"/>
      <c r="P988" s="489" t="s">
        <v>386</v>
      </c>
      <c r="Q988" s="491"/>
      <c r="R988" s="490"/>
      <c r="S988" s="490"/>
      <c r="T988" s="490"/>
      <c r="U988" s="490"/>
      <c r="W988" s="489" t="s">
        <v>386</v>
      </c>
      <c r="X988" s="491"/>
      <c r="Y988" s="490"/>
      <c r="Z988" s="490"/>
      <c r="AA988" s="490"/>
      <c r="AB988" s="490"/>
      <c r="AC988" s="490"/>
      <c r="AD988" s="9" t="s">
        <v>242</v>
      </c>
      <c r="AE988" s="78"/>
      <c r="AK988" s="9" t="s">
        <v>387</v>
      </c>
      <c r="AL988" s="78"/>
      <c r="AR988" s="9" t="s">
        <v>388</v>
      </c>
    </row>
    <row r="989" spans="2:48" ht="30" x14ac:dyDescent="0.25">
      <c r="B989" s="20" t="s">
        <v>22</v>
      </c>
      <c r="C989" s="21" t="s">
        <v>23</v>
      </c>
      <c r="D989" s="21" t="s">
        <v>24</v>
      </c>
      <c r="E989" s="21" t="s">
        <v>25</v>
      </c>
      <c r="F989" s="22" t="s">
        <v>26</v>
      </c>
      <c r="G989" s="23" t="s">
        <v>27</v>
      </c>
      <c r="I989" s="20" t="s">
        <v>22</v>
      </c>
      <c r="J989" s="21" t="s">
        <v>23</v>
      </c>
      <c r="K989" s="21" t="s">
        <v>24</v>
      </c>
      <c r="L989" s="21" t="s">
        <v>25</v>
      </c>
      <c r="M989" s="22" t="s">
        <v>26</v>
      </c>
      <c r="N989" s="23" t="s">
        <v>27</v>
      </c>
      <c r="P989" s="20" t="s">
        <v>22</v>
      </c>
      <c r="Q989" s="21" t="s">
        <v>23</v>
      </c>
      <c r="R989" s="21" t="s">
        <v>24</v>
      </c>
      <c r="S989" s="21" t="s">
        <v>25</v>
      </c>
      <c r="T989" s="22" t="s">
        <v>26</v>
      </c>
      <c r="U989" s="23" t="s">
        <v>27</v>
      </c>
      <c r="W989" s="20" t="s">
        <v>22</v>
      </c>
      <c r="X989" s="21" t="s">
        <v>23</v>
      </c>
      <c r="Y989" s="21" t="s">
        <v>24</v>
      </c>
      <c r="Z989" s="21" t="s">
        <v>25</v>
      </c>
      <c r="AA989" s="22" t="s">
        <v>26</v>
      </c>
      <c r="AB989" s="23" t="s">
        <v>27</v>
      </c>
      <c r="AC989" s="490"/>
      <c r="AD989" s="20" t="s">
        <v>22</v>
      </c>
      <c r="AE989" s="21" t="s">
        <v>23</v>
      </c>
      <c r="AF989" s="21" t="s">
        <v>24</v>
      </c>
      <c r="AG989" s="21" t="s">
        <v>25</v>
      </c>
      <c r="AH989" s="22" t="s">
        <v>26</v>
      </c>
      <c r="AI989" s="23" t="s">
        <v>27</v>
      </c>
      <c r="AK989" s="20" t="s">
        <v>22</v>
      </c>
      <c r="AL989" s="21" t="s">
        <v>23</v>
      </c>
      <c r="AM989" s="21" t="s">
        <v>24</v>
      </c>
      <c r="AN989" s="21" t="s">
        <v>25</v>
      </c>
      <c r="AO989" s="22" t="s">
        <v>26</v>
      </c>
      <c r="AP989" s="23" t="s">
        <v>27</v>
      </c>
      <c r="AR989" s="25"/>
      <c r="AS989" s="26" t="s">
        <v>24</v>
      </c>
      <c r="AT989" s="27" t="s">
        <v>25</v>
      </c>
      <c r="AU989" s="27" t="s">
        <v>27</v>
      </c>
      <c r="AV989" s="28" t="s">
        <v>28</v>
      </c>
    </row>
    <row r="990" spans="2:48" x14ac:dyDescent="0.25">
      <c r="B990" s="29" t="s">
        <v>29</v>
      </c>
      <c r="C990" s="30" t="s">
        <v>389</v>
      </c>
      <c r="D990" s="31">
        <v>102</v>
      </c>
      <c r="E990" s="41">
        <v>0</v>
      </c>
      <c r="F990" s="41"/>
      <c r="G990" s="120">
        <v>105</v>
      </c>
      <c r="I990" s="492"/>
      <c r="J990" s="491" t="s">
        <v>389</v>
      </c>
      <c r="K990" s="490"/>
      <c r="L990" s="490"/>
      <c r="M990" s="490"/>
      <c r="N990" s="493"/>
      <c r="P990" s="492"/>
      <c r="Q990" s="491" t="s">
        <v>389</v>
      </c>
      <c r="R990" s="490"/>
      <c r="S990" s="490"/>
      <c r="T990" s="490"/>
      <c r="U990" s="493"/>
      <c r="W990" s="492"/>
      <c r="X990" s="491" t="s">
        <v>389</v>
      </c>
      <c r="Y990" s="490"/>
      <c r="Z990" s="490"/>
      <c r="AA990" s="490"/>
      <c r="AB990" s="493">
        <v>1</v>
      </c>
      <c r="AC990" s="490"/>
      <c r="AD990" s="29" t="s">
        <v>29</v>
      </c>
      <c r="AE990" s="30" t="s">
        <v>389</v>
      </c>
      <c r="AF990" s="31">
        <v>8</v>
      </c>
      <c r="AG990" s="41"/>
      <c r="AH990" s="41"/>
      <c r="AI990" s="109">
        <v>8</v>
      </c>
      <c r="AK990" s="29" t="s">
        <v>29</v>
      </c>
      <c r="AL990" s="30" t="s">
        <v>389</v>
      </c>
      <c r="AM990" s="41">
        <v>0</v>
      </c>
      <c r="AN990" s="41">
        <v>0</v>
      </c>
      <c r="AO990" s="41"/>
      <c r="AP990" s="109">
        <v>0</v>
      </c>
      <c r="AR990" s="38" t="s">
        <v>29</v>
      </c>
      <c r="AS990" s="39">
        <v>112</v>
      </c>
      <c r="AT990" s="40">
        <v>1</v>
      </c>
      <c r="AU990" s="32">
        <f>SUM(AS990,AT990)</f>
        <v>113</v>
      </c>
      <c r="AV990" s="41">
        <f>AU990/AU992*100</f>
        <v>61.748633879781423</v>
      </c>
    </row>
    <row r="991" spans="2:48" x14ac:dyDescent="0.25">
      <c r="B991" s="47"/>
      <c r="C991" s="112">
        <v>8</v>
      </c>
      <c r="D991" s="58">
        <v>2</v>
      </c>
      <c r="E991" s="132">
        <v>1</v>
      </c>
      <c r="F991" s="114" t="s">
        <v>390</v>
      </c>
      <c r="G991" s="121"/>
      <c r="I991" s="492"/>
      <c r="J991" s="494">
        <v>8</v>
      </c>
      <c r="K991" s="490"/>
      <c r="L991" s="490"/>
      <c r="M991" s="490"/>
      <c r="N991" s="493"/>
      <c r="P991" s="492"/>
      <c r="Q991" s="494">
        <v>8</v>
      </c>
      <c r="R991" s="490"/>
      <c r="S991" s="490"/>
      <c r="T991" s="490"/>
      <c r="U991" s="493">
        <v>1</v>
      </c>
      <c r="W991" s="492"/>
      <c r="X991" s="494">
        <v>8</v>
      </c>
      <c r="Y991" s="490"/>
      <c r="Z991" s="490"/>
      <c r="AA991" s="490"/>
      <c r="AB991" s="493"/>
      <c r="AC991" s="490"/>
      <c r="AD991" s="47"/>
      <c r="AE991" s="112">
        <v>8</v>
      </c>
      <c r="AF991" s="59">
        <v>0</v>
      </c>
      <c r="AG991" s="59"/>
      <c r="AH991" s="59"/>
      <c r="AI991" s="115"/>
      <c r="AK991" s="47"/>
      <c r="AL991" s="112">
        <v>8</v>
      </c>
      <c r="AM991" s="59">
        <v>0</v>
      </c>
      <c r="AN991" s="59">
        <v>0</v>
      </c>
      <c r="AO991" s="59"/>
      <c r="AP991" s="115"/>
      <c r="AR991" s="56" t="s">
        <v>32</v>
      </c>
      <c r="AS991" s="57">
        <v>0</v>
      </c>
      <c r="AT991" s="58">
        <v>70</v>
      </c>
      <c r="AU991" s="50">
        <f>SUM(AS991,AT991)</f>
        <v>70</v>
      </c>
      <c r="AV991" s="59">
        <f>AU991/AU992*100</f>
        <v>38.251366120218577</v>
      </c>
    </row>
    <row r="992" spans="2:48" x14ac:dyDescent="0.25">
      <c r="B992" s="29" t="s">
        <v>32</v>
      </c>
      <c r="C992" s="30">
        <v>16</v>
      </c>
      <c r="D992" s="41">
        <v>0</v>
      </c>
      <c r="E992" s="41">
        <v>0</v>
      </c>
      <c r="F992" s="41"/>
      <c r="G992" s="120">
        <v>66</v>
      </c>
      <c r="I992" s="492"/>
      <c r="J992" s="491">
        <v>16</v>
      </c>
      <c r="K992" s="490"/>
      <c r="L992" s="490"/>
      <c r="M992" s="490"/>
      <c r="N992" s="493">
        <v>1</v>
      </c>
      <c r="P992" s="492"/>
      <c r="Q992" s="491">
        <v>16</v>
      </c>
      <c r="R992" s="490"/>
      <c r="S992" s="490"/>
      <c r="T992" s="490"/>
      <c r="U992" s="493"/>
      <c r="W992" s="492"/>
      <c r="X992" s="491">
        <v>16</v>
      </c>
      <c r="Y992" s="490"/>
      <c r="Z992" s="490"/>
      <c r="AA992" s="490"/>
      <c r="AB992" s="493">
        <v>1</v>
      </c>
      <c r="AC992" s="490"/>
      <c r="AD992" s="29" t="s">
        <v>32</v>
      </c>
      <c r="AE992" s="30">
        <v>16</v>
      </c>
      <c r="AF992" s="41">
        <v>0</v>
      </c>
      <c r="AG992" s="41"/>
      <c r="AH992" s="41"/>
      <c r="AI992" s="109">
        <v>2</v>
      </c>
      <c r="AK992" s="29" t="s">
        <v>32</v>
      </c>
      <c r="AL992" s="30">
        <v>16</v>
      </c>
      <c r="AM992" s="41">
        <v>0</v>
      </c>
      <c r="AN992" s="41">
        <v>0</v>
      </c>
      <c r="AO992" s="41"/>
      <c r="AP992" s="109">
        <v>2</v>
      </c>
      <c r="AR992" s="56" t="s">
        <v>27</v>
      </c>
      <c r="AS992" s="64">
        <f>SUM(AS990,AS991)</f>
        <v>112</v>
      </c>
      <c r="AT992" s="50">
        <f>SUM(AT990,AT991)</f>
        <v>71</v>
      </c>
      <c r="AU992" s="50">
        <f>SUM(AS990:AT991)</f>
        <v>183</v>
      </c>
      <c r="AV992" s="59"/>
    </row>
    <row r="993" spans="2:48" x14ac:dyDescent="0.25">
      <c r="B993" s="42"/>
      <c r="C993" s="30">
        <v>32</v>
      </c>
      <c r="D993" s="41">
        <v>0</v>
      </c>
      <c r="E993" s="41">
        <v>0</v>
      </c>
      <c r="F993" s="41"/>
      <c r="G993" s="135"/>
      <c r="I993" s="492"/>
      <c r="J993" s="491">
        <v>32</v>
      </c>
      <c r="K993" s="490"/>
      <c r="L993" s="490"/>
      <c r="M993" s="490"/>
      <c r="N993" s="493">
        <v>14</v>
      </c>
      <c r="P993" s="492"/>
      <c r="Q993" s="491">
        <v>32</v>
      </c>
      <c r="R993" s="490"/>
      <c r="S993" s="490"/>
      <c r="T993" s="490"/>
      <c r="U993" s="493"/>
      <c r="W993" s="492"/>
      <c r="X993" s="491">
        <v>32</v>
      </c>
      <c r="Y993" s="490"/>
      <c r="Z993" s="490"/>
      <c r="AA993" s="490"/>
      <c r="AB993" s="493">
        <v>4</v>
      </c>
      <c r="AC993" s="490"/>
      <c r="AD993" s="42"/>
      <c r="AE993" s="30">
        <v>32</v>
      </c>
      <c r="AF993" s="41">
        <v>0</v>
      </c>
      <c r="AG993" s="41"/>
      <c r="AH993" s="41"/>
      <c r="AI993" s="172"/>
      <c r="AK993" s="42"/>
      <c r="AL993" s="30">
        <v>32</v>
      </c>
      <c r="AM993" s="41">
        <v>0</v>
      </c>
      <c r="AN993" s="41">
        <v>0</v>
      </c>
      <c r="AO993" s="41"/>
      <c r="AP993" s="172"/>
      <c r="AR993" s="56" t="s">
        <v>28</v>
      </c>
      <c r="AS993" s="64">
        <f>AS992/AU992*100</f>
        <v>61.202185792349731</v>
      </c>
      <c r="AT993" s="59">
        <f>AT992/AU992*100</f>
        <v>38.797814207650269</v>
      </c>
      <c r="AU993" s="59"/>
      <c r="AV993" s="59"/>
    </row>
    <row r="994" spans="2:48" x14ac:dyDescent="0.25">
      <c r="B994" s="47"/>
      <c r="C994" s="30" t="s">
        <v>101</v>
      </c>
      <c r="D994" s="41">
        <v>0</v>
      </c>
      <c r="E994" s="31">
        <v>66</v>
      </c>
      <c r="F994" s="41" t="s">
        <v>391</v>
      </c>
      <c r="G994" s="121"/>
      <c r="I994" s="492"/>
      <c r="J994" s="491" t="s">
        <v>101</v>
      </c>
      <c r="K994" s="490"/>
      <c r="L994" s="490"/>
      <c r="M994" s="490"/>
      <c r="N994" s="493">
        <v>19</v>
      </c>
      <c r="P994" s="492"/>
      <c r="Q994" s="491" t="s">
        <v>101</v>
      </c>
      <c r="R994" s="490"/>
      <c r="S994" s="490"/>
      <c r="T994" s="490"/>
      <c r="U994" s="493">
        <v>9</v>
      </c>
      <c r="W994" s="492"/>
      <c r="X994" s="491" t="s">
        <v>101</v>
      </c>
      <c r="Y994" s="490"/>
      <c r="Z994" s="490"/>
      <c r="AA994" s="490"/>
      <c r="AB994" s="493">
        <v>4</v>
      </c>
      <c r="AC994" s="490"/>
      <c r="AD994" s="47"/>
      <c r="AE994" s="30" t="s">
        <v>101</v>
      </c>
      <c r="AF994" s="41">
        <v>0</v>
      </c>
      <c r="AG994" s="31">
        <v>2</v>
      </c>
      <c r="AH994" s="41" t="s">
        <v>392</v>
      </c>
      <c r="AI994" s="115"/>
      <c r="AK994" s="47"/>
      <c r="AL994" s="30" t="s">
        <v>101</v>
      </c>
      <c r="AM994" s="41">
        <v>0</v>
      </c>
      <c r="AN994" s="31">
        <v>2</v>
      </c>
      <c r="AO994" s="41" t="s">
        <v>393</v>
      </c>
      <c r="AP994" s="115"/>
    </row>
    <row r="995" spans="2:48" ht="15.75" thickBot="1" x14ac:dyDescent="0.3">
      <c r="B995" s="476"/>
      <c r="C995" s="477"/>
      <c r="D995" s="478">
        <v>104</v>
      </c>
      <c r="E995" s="478">
        <v>67</v>
      </c>
      <c r="F995" s="478"/>
      <c r="G995" s="479">
        <v>171</v>
      </c>
      <c r="I995" s="495"/>
      <c r="J995" s="496"/>
      <c r="K995" s="497"/>
      <c r="L995" s="497"/>
      <c r="M995" s="497"/>
      <c r="N995" s="498"/>
      <c r="P995" s="495"/>
      <c r="Q995" s="496"/>
      <c r="R995" s="497"/>
      <c r="S995" s="497"/>
      <c r="T995" s="497"/>
      <c r="U995" s="498"/>
      <c r="W995" s="495"/>
      <c r="X995" s="496"/>
      <c r="Y995" s="497"/>
      <c r="Z995" s="497"/>
      <c r="AA995" s="497"/>
      <c r="AB995" s="498"/>
      <c r="AC995" s="490"/>
      <c r="AD995" s="476"/>
      <c r="AE995" s="477"/>
      <c r="AF995" s="478">
        <v>8</v>
      </c>
      <c r="AG995" s="478">
        <v>2</v>
      </c>
      <c r="AH995" s="478"/>
      <c r="AI995" s="479">
        <v>10</v>
      </c>
      <c r="AK995" s="476"/>
      <c r="AL995" s="477"/>
      <c r="AM995" s="478">
        <v>0</v>
      </c>
      <c r="AN995" s="478">
        <v>2</v>
      </c>
      <c r="AO995" s="478"/>
      <c r="AP995" s="479">
        <v>2</v>
      </c>
    </row>
    <row r="996" spans="2:48" x14ac:dyDescent="0.25">
      <c r="C996" s="78"/>
      <c r="J996" s="78"/>
      <c r="Q996" s="78"/>
      <c r="X996" s="78"/>
      <c r="AE996" s="78"/>
      <c r="AL996" s="78"/>
    </row>
    <row r="997" spans="2:48" ht="19.5" thickBot="1" x14ac:dyDescent="0.35">
      <c r="B997" s="9" t="s">
        <v>394</v>
      </c>
      <c r="C997" s="78"/>
      <c r="D997" s="12"/>
      <c r="I997" s="9" t="s">
        <v>394</v>
      </c>
      <c r="J997" s="78"/>
      <c r="P997" s="9" t="s">
        <v>394</v>
      </c>
      <c r="Q997" s="78"/>
      <c r="W997" s="9" t="s">
        <v>394</v>
      </c>
      <c r="X997" s="78"/>
      <c r="AD997" s="9" t="s">
        <v>394</v>
      </c>
      <c r="AE997" s="78"/>
      <c r="AK997" s="9" t="s">
        <v>394</v>
      </c>
      <c r="AL997" s="78"/>
      <c r="AR997" s="9" t="s">
        <v>395</v>
      </c>
    </row>
    <row r="998" spans="2:48" ht="30" x14ac:dyDescent="0.25">
      <c r="B998" s="20" t="s">
        <v>22</v>
      </c>
      <c r="C998" s="21" t="s">
        <v>23</v>
      </c>
      <c r="D998" s="21" t="s">
        <v>24</v>
      </c>
      <c r="E998" s="21" t="s">
        <v>25</v>
      </c>
      <c r="F998" s="22" t="s">
        <v>26</v>
      </c>
      <c r="G998" s="23" t="s">
        <v>27</v>
      </c>
      <c r="I998" s="20" t="s">
        <v>22</v>
      </c>
      <c r="J998" s="21" t="s">
        <v>23</v>
      </c>
      <c r="K998" s="21" t="s">
        <v>24</v>
      </c>
      <c r="L998" s="21" t="s">
        <v>25</v>
      </c>
      <c r="M998" s="22" t="s">
        <v>26</v>
      </c>
      <c r="N998" s="23" t="s">
        <v>27</v>
      </c>
      <c r="P998" s="20" t="s">
        <v>22</v>
      </c>
      <c r="Q998" s="21" t="s">
        <v>23</v>
      </c>
      <c r="R998" s="21" t="s">
        <v>24</v>
      </c>
      <c r="S998" s="21" t="s">
        <v>25</v>
      </c>
      <c r="T998" s="22" t="s">
        <v>26</v>
      </c>
      <c r="U998" s="23" t="s">
        <v>27</v>
      </c>
      <c r="W998" s="20" t="s">
        <v>22</v>
      </c>
      <c r="X998" s="21" t="s">
        <v>23</v>
      </c>
      <c r="Y998" s="21" t="s">
        <v>24</v>
      </c>
      <c r="Z998" s="21" t="s">
        <v>25</v>
      </c>
      <c r="AA998" s="22" t="s">
        <v>26</v>
      </c>
      <c r="AB998" s="23" t="s">
        <v>27</v>
      </c>
      <c r="AD998" s="20" t="s">
        <v>22</v>
      </c>
      <c r="AE998" s="21" t="s">
        <v>23</v>
      </c>
      <c r="AF998" s="21" t="s">
        <v>24</v>
      </c>
      <c r="AG998" s="21" t="s">
        <v>25</v>
      </c>
      <c r="AH998" s="22" t="s">
        <v>26</v>
      </c>
      <c r="AI998" s="23" t="s">
        <v>27</v>
      </c>
      <c r="AK998" s="20" t="s">
        <v>22</v>
      </c>
      <c r="AL998" s="21" t="s">
        <v>23</v>
      </c>
      <c r="AM998" s="21" t="s">
        <v>24</v>
      </c>
      <c r="AN998" s="21" t="s">
        <v>25</v>
      </c>
      <c r="AO998" s="22" t="s">
        <v>26</v>
      </c>
      <c r="AP998" s="23" t="s">
        <v>27</v>
      </c>
      <c r="AR998" s="25"/>
      <c r="AS998" s="26" t="s">
        <v>24</v>
      </c>
      <c r="AT998" s="27" t="s">
        <v>25</v>
      </c>
      <c r="AU998" s="27" t="s">
        <v>27</v>
      </c>
      <c r="AV998" s="28" t="s">
        <v>28</v>
      </c>
    </row>
    <row r="999" spans="2:48" x14ac:dyDescent="0.25">
      <c r="B999" s="60" t="s">
        <v>396</v>
      </c>
      <c r="C999" s="48" t="s">
        <v>397</v>
      </c>
      <c r="D999" s="58">
        <v>136</v>
      </c>
      <c r="E999" s="132">
        <v>1</v>
      </c>
      <c r="F999" s="114" t="s">
        <v>398</v>
      </c>
      <c r="G999" s="118">
        <v>137</v>
      </c>
      <c r="I999" s="60" t="s">
        <v>396</v>
      </c>
      <c r="J999" s="48" t="s">
        <v>397</v>
      </c>
      <c r="K999" s="58">
        <v>11</v>
      </c>
      <c r="L999" s="132">
        <v>17</v>
      </c>
      <c r="M999" s="114" t="s">
        <v>399</v>
      </c>
      <c r="N999" s="118">
        <v>28</v>
      </c>
      <c r="P999" s="60" t="s">
        <v>396</v>
      </c>
      <c r="Q999" s="48" t="s">
        <v>397</v>
      </c>
      <c r="R999" s="58">
        <v>2</v>
      </c>
      <c r="S999" s="132">
        <v>5</v>
      </c>
      <c r="T999" s="114" t="s">
        <v>400</v>
      </c>
      <c r="U999" s="118">
        <v>7</v>
      </c>
      <c r="W999" s="60" t="s">
        <v>396</v>
      </c>
      <c r="X999" s="48" t="s">
        <v>397</v>
      </c>
      <c r="Y999" s="59">
        <v>0</v>
      </c>
      <c r="Z999" s="132">
        <v>9</v>
      </c>
      <c r="AA999" s="114" t="s">
        <v>401</v>
      </c>
      <c r="AB999" s="118">
        <v>9</v>
      </c>
      <c r="AD999" s="60" t="s">
        <v>396</v>
      </c>
      <c r="AE999" s="48" t="s">
        <v>397</v>
      </c>
      <c r="AF999" s="58">
        <v>10</v>
      </c>
      <c r="AG999" s="59">
        <v>0</v>
      </c>
      <c r="AH999" s="59"/>
      <c r="AI999" s="118">
        <v>10</v>
      </c>
      <c r="AK999" s="60" t="s">
        <v>396</v>
      </c>
      <c r="AL999" s="48" t="s">
        <v>397</v>
      </c>
      <c r="AM999" s="58">
        <v>5</v>
      </c>
      <c r="AN999" s="132">
        <v>3</v>
      </c>
      <c r="AO999" s="114" t="s">
        <v>402</v>
      </c>
      <c r="AP999" s="118">
        <v>8</v>
      </c>
      <c r="AR999" s="38" t="s">
        <v>403</v>
      </c>
      <c r="AS999" s="39">
        <v>164</v>
      </c>
      <c r="AT999" s="40">
        <v>35</v>
      </c>
      <c r="AU999" s="32">
        <f>SUM(AS999,AT999)</f>
        <v>199</v>
      </c>
      <c r="AV999" s="41">
        <f>AU999/AU1001*100</f>
        <v>81.893004115226347</v>
      </c>
    </row>
    <row r="1000" spans="2:48" x14ac:dyDescent="0.25">
      <c r="B1000" s="29" t="s">
        <v>32</v>
      </c>
      <c r="C1000" s="481">
        <v>32</v>
      </c>
      <c r="D1000" s="40">
        <v>17</v>
      </c>
      <c r="E1000" s="31">
        <v>2</v>
      </c>
      <c r="F1000" s="41" t="s">
        <v>404</v>
      </c>
      <c r="G1000" s="120">
        <v>34</v>
      </c>
      <c r="I1000" s="29" t="s">
        <v>32</v>
      </c>
      <c r="J1000" s="481">
        <v>32</v>
      </c>
      <c r="K1000" s="40">
        <v>1</v>
      </c>
      <c r="L1000" s="41">
        <v>0</v>
      </c>
      <c r="M1000" s="41"/>
      <c r="N1000" s="109">
        <v>6</v>
      </c>
      <c r="P1000" s="29" t="s">
        <v>32</v>
      </c>
      <c r="Q1000" s="481">
        <v>32</v>
      </c>
      <c r="R1000" s="41">
        <v>0</v>
      </c>
      <c r="S1000" s="41">
        <v>0</v>
      </c>
      <c r="T1000" s="41"/>
      <c r="U1000" s="109">
        <v>3</v>
      </c>
      <c r="W1000" s="29" t="s">
        <v>32</v>
      </c>
      <c r="X1000" s="481">
        <v>32</v>
      </c>
      <c r="Y1000" s="41">
        <v>0</v>
      </c>
      <c r="Z1000" s="31">
        <v>1</v>
      </c>
      <c r="AA1000" s="41" t="s">
        <v>405</v>
      </c>
      <c r="AB1000" s="109">
        <v>1</v>
      </c>
      <c r="AD1000" s="29" t="s">
        <v>32</v>
      </c>
      <c r="AE1000" s="481">
        <v>32</v>
      </c>
      <c r="AF1000" s="41">
        <v>0</v>
      </c>
      <c r="AG1000" s="41">
        <v>0</v>
      </c>
      <c r="AH1000" s="41"/>
      <c r="AI1000" s="109">
        <v>0</v>
      </c>
      <c r="AK1000" s="29" t="s">
        <v>32</v>
      </c>
      <c r="AL1000" s="481">
        <v>32</v>
      </c>
      <c r="AM1000" s="41">
        <v>0</v>
      </c>
      <c r="AN1000" s="41">
        <v>0</v>
      </c>
      <c r="AO1000" s="41"/>
      <c r="AP1000" s="109">
        <v>0</v>
      </c>
      <c r="AR1000" s="56" t="s">
        <v>32</v>
      </c>
      <c r="AS1000" s="57">
        <v>35</v>
      </c>
      <c r="AT1000" s="58">
        <v>9</v>
      </c>
      <c r="AU1000" s="50">
        <f>SUM(AS1000,AT1000)</f>
        <v>44</v>
      </c>
      <c r="AV1000" s="59">
        <f>AU1000/AU1001*100</f>
        <v>18.106995884773664</v>
      </c>
    </row>
    <row r="1001" spans="2:48" x14ac:dyDescent="0.25">
      <c r="B1001" s="42"/>
      <c r="C1001" s="30">
        <v>64</v>
      </c>
      <c r="D1001" s="40">
        <v>4</v>
      </c>
      <c r="E1001" s="31">
        <v>1</v>
      </c>
      <c r="F1001" s="41" t="s">
        <v>406</v>
      </c>
      <c r="G1001" s="135"/>
      <c r="I1001" s="42"/>
      <c r="J1001" s="30">
        <v>64</v>
      </c>
      <c r="K1001" s="40">
        <v>1</v>
      </c>
      <c r="L1001" s="41">
        <v>0</v>
      </c>
      <c r="M1001" s="41"/>
      <c r="N1001" s="172"/>
      <c r="P1001" s="42"/>
      <c r="Q1001" s="30">
        <v>64</v>
      </c>
      <c r="R1001" s="40">
        <v>1</v>
      </c>
      <c r="S1001" s="41">
        <v>0</v>
      </c>
      <c r="T1001" s="41"/>
      <c r="U1001" s="172"/>
      <c r="W1001" s="42"/>
      <c r="X1001" s="30">
        <v>64</v>
      </c>
      <c r="Y1001" s="41">
        <v>0</v>
      </c>
      <c r="Z1001" s="41">
        <v>0</v>
      </c>
      <c r="AA1001" s="41"/>
      <c r="AB1001" s="172"/>
      <c r="AD1001" s="42"/>
      <c r="AE1001" s="30">
        <v>64</v>
      </c>
      <c r="AF1001" s="41">
        <v>0</v>
      </c>
      <c r="AG1001" s="41">
        <v>0</v>
      </c>
      <c r="AH1001" s="41"/>
      <c r="AI1001" s="172"/>
      <c r="AK1001" s="42"/>
      <c r="AL1001" s="30">
        <v>64</v>
      </c>
      <c r="AM1001" s="41">
        <v>0</v>
      </c>
      <c r="AN1001" s="41">
        <v>0</v>
      </c>
      <c r="AO1001" s="41"/>
      <c r="AP1001" s="172"/>
      <c r="AR1001" s="56" t="s">
        <v>27</v>
      </c>
      <c r="AS1001" s="64">
        <f>SUM(AS999,AS1000)</f>
        <v>199</v>
      </c>
      <c r="AT1001" s="50">
        <f>SUM(AT999,AT1000)</f>
        <v>44</v>
      </c>
      <c r="AU1001" s="50">
        <f>SUM(AS999:AT1000)</f>
        <v>243</v>
      </c>
      <c r="AV1001" s="59"/>
    </row>
    <row r="1002" spans="2:48" x14ac:dyDescent="0.25">
      <c r="B1002" s="47"/>
      <c r="C1002" s="30" t="s">
        <v>407</v>
      </c>
      <c r="D1002" s="40">
        <v>10</v>
      </c>
      <c r="E1002" s="41"/>
      <c r="F1002" s="41"/>
      <c r="G1002" s="121"/>
      <c r="I1002" s="47"/>
      <c r="J1002" s="30" t="s">
        <v>407</v>
      </c>
      <c r="K1002" s="40">
        <v>1</v>
      </c>
      <c r="L1002" s="31">
        <v>3</v>
      </c>
      <c r="M1002" s="41" t="s">
        <v>408</v>
      </c>
      <c r="N1002" s="115"/>
      <c r="P1002" s="47"/>
      <c r="Q1002" s="30" t="s">
        <v>407</v>
      </c>
      <c r="R1002" s="41">
        <v>0</v>
      </c>
      <c r="S1002" s="31">
        <v>2</v>
      </c>
      <c r="T1002" s="41" t="s">
        <v>409</v>
      </c>
      <c r="U1002" s="115"/>
      <c r="W1002" s="47"/>
      <c r="X1002" s="30" t="s">
        <v>407</v>
      </c>
      <c r="Y1002" s="41">
        <v>0</v>
      </c>
      <c r="Z1002" s="41">
        <v>0</v>
      </c>
      <c r="AA1002" s="41"/>
      <c r="AB1002" s="115"/>
      <c r="AD1002" s="47"/>
      <c r="AE1002" s="30" t="s">
        <v>407</v>
      </c>
      <c r="AF1002" s="41">
        <v>0</v>
      </c>
      <c r="AG1002" s="41">
        <v>0</v>
      </c>
      <c r="AH1002" s="41"/>
      <c r="AI1002" s="115"/>
      <c r="AK1002" s="47"/>
      <c r="AL1002" s="30" t="s">
        <v>407</v>
      </c>
      <c r="AM1002" s="41">
        <v>0</v>
      </c>
      <c r="AN1002" s="41">
        <v>0</v>
      </c>
      <c r="AO1002" s="41"/>
      <c r="AP1002" s="115"/>
      <c r="AR1002" s="56" t="s">
        <v>28</v>
      </c>
      <c r="AS1002" s="64">
        <f>AS1001/AU1001*100</f>
        <v>81.893004115226347</v>
      </c>
      <c r="AT1002" s="59">
        <f>AT1001/AU1001*100</f>
        <v>18.106995884773664</v>
      </c>
      <c r="AU1002" s="59"/>
      <c r="AV1002" s="59"/>
    </row>
    <row r="1003" spans="2:48" ht="15.75" thickBot="1" x14ac:dyDescent="0.3">
      <c r="B1003" s="476"/>
      <c r="C1003" s="477"/>
      <c r="D1003" s="478">
        <v>167</v>
      </c>
      <c r="E1003" s="478">
        <v>4</v>
      </c>
      <c r="F1003" s="478"/>
      <c r="G1003" s="479">
        <v>171</v>
      </c>
      <c r="I1003" s="476"/>
      <c r="J1003" s="477"/>
      <c r="K1003" s="478">
        <v>14</v>
      </c>
      <c r="L1003" s="478">
        <v>20</v>
      </c>
      <c r="M1003" s="478"/>
      <c r="N1003" s="479">
        <v>34</v>
      </c>
      <c r="P1003" s="476"/>
      <c r="Q1003" s="477"/>
      <c r="R1003" s="478">
        <v>3</v>
      </c>
      <c r="S1003" s="478">
        <v>7</v>
      </c>
      <c r="T1003" s="478"/>
      <c r="U1003" s="479">
        <v>10</v>
      </c>
      <c r="W1003" s="476"/>
      <c r="X1003" s="477"/>
      <c r="Y1003" s="478">
        <v>0</v>
      </c>
      <c r="Z1003" s="478">
        <v>10</v>
      </c>
      <c r="AA1003" s="478"/>
      <c r="AB1003" s="479">
        <v>10</v>
      </c>
      <c r="AD1003" s="476"/>
      <c r="AE1003" s="477"/>
      <c r="AF1003" s="478">
        <v>10</v>
      </c>
      <c r="AG1003" s="478">
        <v>0</v>
      </c>
      <c r="AH1003" s="478"/>
      <c r="AI1003" s="479">
        <v>10</v>
      </c>
      <c r="AK1003" s="476"/>
      <c r="AL1003" s="477"/>
      <c r="AM1003" s="478">
        <v>5</v>
      </c>
      <c r="AN1003" s="478">
        <v>3</v>
      </c>
      <c r="AO1003" s="478"/>
      <c r="AP1003" s="479">
        <v>8</v>
      </c>
    </row>
    <row r="1004" spans="2:48" x14ac:dyDescent="0.25">
      <c r="C1004" s="78"/>
      <c r="J1004" s="78"/>
      <c r="Q1004" s="78"/>
      <c r="X1004" s="78"/>
      <c r="AE1004" s="78"/>
      <c r="AL1004" s="78"/>
    </row>
    <row r="1005" spans="2:48" ht="19.5" thickBot="1" x14ac:dyDescent="0.35">
      <c r="B1005" s="9" t="s">
        <v>410</v>
      </c>
      <c r="C1005" s="78"/>
      <c r="D1005" s="12"/>
      <c r="I1005" s="9" t="s">
        <v>410</v>
      </c>
      <c r="J1005" s="78"/>
      <c r="P1005" s="9" t="s">
        <v>410</v>
      </c>
      <c r="Q1005" s="78"/>
      <c r="W1005" s="9" t="s">
        <v>410</v>
      </c>
      <c r="X1005" s="78"/>
      <c r="AD1005" s="9" t="s">
        <v>410</v>
      </c>
      <c r="AE1005" s="78"/>
      <c r="AK1005" s="9" t="s">
        <v>410</v>
      </c>
      <c r="AL1005" s="78"/>
      <c r="AR1005" s="9" t="s">
        <v>411</v>
      </c>
    </row>
    <row r="1006" spans="2:48" ht="30" x14ac:dyDescent="0.25">
      <c r="B1006" s="20" t="s">
        <v>22</v>
      </c>
      <c r="C1006" s="21" t="s">
        <v>23</v>
      </c>
      <c r="D1006" s="21" t="s">
        <v>24</v>
      </c>
      <c r="E1006" s="21" t="s">
        <v>25</v>
      </c>
      <c r="F1006" s="22" t="s">
        <v>26</v>
      </c>
      <c r="G1006" s="23" t="s">
        <v>27</v>
      </c>
      <c r="I1006" s="20" t="s">
        <v>22</v>
      </c>
      <c r="J1006" s="21" t="s">
        <v>23</v>
      </c>
      <c r="K1006" s="21" t="s">
        <v>24</v>
      </c>
      <c r="L1006" s="21" t="s">
        <v>25</v>
      </c>
      <c r="M1006" s="22" t="s">
        <v>26</v>
      </c>
      <c r="N1006" s="23" t="s">
        <v>27</v>
      </c>
      <c r="P1006" s="20" t="s">
        <v>22</v>
      </c>
      <c r="Q1006" s="21" t="s">
        <v>23</v>
      </c>
      <c r="R1006" s="21" t="s">
        <v>24</v>
      </c>
      <c r="S1006" s="21" t="s">
        <v>25</v>
      </c>
      <c r="T1006" s="22" t="s">
        <v>26</v>
      </c>
      <c r="U1006" s="23" t="s">
        <v>27</v>
      </c>
      <c r="W1006" s="20" t="s">
        <v>22</v>
      </c>
      <c r="X1006" s="21" t="s">
        <v>23</v>
      </c>
      <c r="Y1006" s="21" t="s">
        <v>24</v>
      </c>
      <c r="Z1006" s="21" t="s">
        <v>25</v>
      </c>
      <c r="AA1006" s="22" t="s">
        <v>26</v>
      </c>
      <c r="AB1006" s="23" t="s">
        <v>27</v>
      </c>
      <c r="AD1006" s="20" t="s">
        <v>22</v>
      </c>
      <c r="AE1006" s="21" t="s">
        <v>23</v>
      </c>
      <c r="AF1006" s="21" t="s">
        <v>24</v>
      </c>
      <c r="AG1006" s="21" t="s">
        <v>25</v>
      </c>
      <c r="AH1006" s="22" t="s">
        <v>26</v>
      </c>
      <c r="AI1006" s="23" t="s">
        <v>27</v>
      </c>
      <c r="AK1006" s="20" t="s">
        <v>22</v>
      </c>
      <c r="AL1006" s="21" t="s">
        <v>23</v>
      </c>
      <c r="AM1006" s="21" t="s">
        <v>24</v>
      </c>
      <c r="AN1006" s="21" t="s">
        <v>25</v>
      </c>
      <c r="AO1006" s="22" t="s">
        <v>26</v>
      </c>
      <c r="AP1006" s="23" t="s">
        <v>27</v>
      </c>
      <c r="AR1006" s="25"/>
      <c r="AS1006" s="26" t="s">
        <v>24</v>
      </c>
      <c r="AT1006" s="27" t="s">
        <v>25</v>
      </c>
      <c r="AU1006" s="27" t="s">
        <v>27</v>
      </c>
      <c r="AV1006" s="28" t="s">
        <v>28</v>
      </c>
    </row>
    <row r="1007" spans="2:48" x14ac:dyDescent="0.25">
      <c r="B1007" s="463" t="s">
        <v>29</v>
      </c>
      <c r="C1007" s="464" t="s">
        <v>82</v>
      </c>
      <c r="D1007" s="480">
        <v>155</v>
      </c>
      <c r="E1007" s="499">
        <v>6</v>
      </c>
      <c r="F1007" s="500" t="s">
        <v>412</v>
      </c>
      <c r="G1007" s="468">
        <v>161</v>
      </c>
      <c r="I1007" s="463" t="s">
        <v>29</v>
      </c>
      <c r="J1007" s="464" t="s">
        <v>82</v>
      </c>
      <c r="K1007" s="480">
        <v>10</v>
      </c>
      <c r="L1007" s="499">
        <v>22</v>
      </c>
      <c r="M1007" s="501" t="s">
        <v>413</v>
      </c>
      <c r="N1007" s="502">
        <v>32</v>
      </c>
      <c r="P1007" s="463" t="s">
        <v>29</v>
      </c>
      <c r="Q1007" s="464" t="s">
        <v>82</v>
      </c>
      <c r="R1007" s="480">
        <v>2</v>
      </c>
      <c r="S1007" s="499">
        <v>5</v>
      </c>
      <c r="T1007" s="501" t="s">
        <v>414</v>
      </c>
      <c r="U1007" s="502">
        <v>7</v>
      </c>
      <c r="W1007" s="463" t="s">
        <v>29</v>
      </c>
      <c r="X1007" s="464" t="s">
        <v>82</v>
      </c>
      <c r="Y1007" s="480">
        <v>5</v>
      </c>
      <c r="Z1007" s="499">
        <v>4</v>
      </c>
      <c r="AA1007" s="501" t="s">
        <v>415</v>
      </c>
      <c r="AB1007" s="502">
        <v>9</v>
      </c>
      <c r="AD1007" s="463" t="s">
        <v>29</v>
      </c>
      <c r="AE1007" s="464" t="s">
        <v>82</v>
      </c>
      <c r="AF1007" s="480">
        <v>10</v>
      </c>
      <c r="AG1007" s="28">
        <v>0</v>
      </c>
      <c r="AH1007" s="28"/>
      <c r="AI1007" s="502">
        <v>10</v>
      </c>
      <c r="AK1007" s="463" t="s">
        <v>29</v>
      </c>
      <c r="AL1007" s="464" t="s">
        <v>82</v>
      </c>
      <c r="AM1007" s="480">
        <v>5</v>
      </c>
      <c r="AN1007" s="499">
        <v>3</v>
      </c>
      <c r="AO1007" s="501" t="s">
        <v>402</v>
      </c>
      <c r="AP1007" s="502">
        <v>8</v>
      </c>
      <c r="AR1007" s="38" t="s">
        <v>29</v>
      </c>
      <c r="AS1007" s="39">
        <v>187</v>
      </c>
      <c r="AT1007" s="40">
        <v>40</v>
      </c>
      <c r="AU1007" s="32">
        <f>SUM(AS1007,AT1007)</f>
        <v>227</v>
      </c>
      <c r="AV1007" s="41">
        <f>AU1007/AU1010*100</f>
        <v>93.415637860082299</v>
      </c>
    </row>
    <row r="1008" spans="2:48" x14ac:dyDescent="0.25">
      <c r="B1008" s="29" t="s">
        <v>31</v>
      </c>
      <c r="C1008" s="481">
        <v>2</v>
      </c>
      <c r="D1008" s="41">
        <v>0</v>
      </c>
      <c r="E1008" s="40">
        <v>1</v>
      </c>
      <c r="F1008" s="119" t="s">
        <v>416</v>
      </c>
      <c r="G1008" s="109">
        <v>3</v>
      </c>
      <c r="I1008" s="29" t="s">
        <v>31</v>
      </c>
      <c r="J1008" s="481">
        <v>2</v>
      </c>
      <c r="K1008" s="41">
        <v>0</v>
      </c>
      <c r="L1008" s="41">
        <v>0</v>
      </c>
      <c r="M1008" s="41"/>
      <c r="N1008" s="109">
        <v>0</v>
      </c>
      <c r="P1008" s="29" t="s">
        <v>31</v>
      </c>
      <c r="Q1008" s="481">
        <v>2</v>
      </c>
      <c r="R1008" s="41">
        <v>0</v>
      </c>
      <c r="S1008" s="40">
        <v>1</v>
      </c>
      <c r="T1008" s="119" t="s">
        <v>417</v>
      </c>
      <c r="U1008" s="109">
        <v>1</v>
      </c>
      <c r="W1008" s="29" t="s">
        <v>31</v>
      </c>
      <c r="X1008" s="481">
        <v>2</v>
      </c>
      <c r="Y1008" s="41">
        <v>0</v>
      </c>
      <c r="Z1008" s="41">
        <v>0</v>
      </c>
      <c r="AA1008" s="41"/>
      <c r="AB1008" s="109">
        <v>0</v>
      </c>
      <c r="AD1008" s="29" t="s">
        <v>31</v>
      </c>
      <c r="AE1008" s="481">
        <v>2</v>
      </c>
      <c r="AF1008" s="41">
        <v>0</v>
      </c>
      <c r="AG1008" s="41">
        <v>0</v>
      </c>
      <c r="AH1008" s="41"/>
      <c r="AI1008" s="109">
        <v>0</v>
      </c>
      <c r="AK1008" s="29" t="s">
        <v>31</v>
      </c>
      <c r="AL1008" s="481">
        <v>2</v>
      </c>
      <c r="AM1008" s="41">
        <v>0</v>
      </c>
      <c r="AN1008" s="41">
        <v>0</v>
      </c>
      <c r="AO1008" s="41"/>
      <c r="AP1008" s="109">
        <v>0</v>
      </c>
      <c r="AR1008" s="38" t="s">
        <v>31</v>
      </c>
      <c r="AS1008" s="2">
        <v>1</v>
      </c>
      <c r="AT1008" s="40">
        <v>3</v>
      </c>
      <c r="AU1008" s="32">
        <f>SUM(AS1008,AT1008)</f>
        <v>4</v>
      </c>
      <c r="AV1008" s="41">
        <f>AU1008/AU1010*100</f>
        <v>1.6460905349794239</v>
      </c>
    </row>
    <row r="1009" spans="2:48" x14ac:dyDescent="0.25">
      <c r="B1009" s="47"/>
      <c r="C1009" s="48">
        <v>4</v>
      </c>
      <c r="D1009" s="58">
        <v>1</v>
      </c>
      <c r="E1009" s="132">
        <v>1</v>
      </c>
      <c r="F1009" s="114" t="s">
        <v>418</v>
      </c>
      <c r="G1009" s="115"/>
      <c r="I1009" s="47"/>
      <c r="J1009" s="48">
        <v>4</v>
      </c>
      <c r="K1009" s="59">
        <v>0</v>
      </c>
      <c r="L1009" s="59">
        <v>0</v>
      </c>
      <c r="M1009" s="59"/>
      <c r="N1009" s="115"/>
      <c r="P1009" s="47"/>
      <c r="Q1009" s="48">
        <v>4</v>
      </c>
      <c r="R1009" s="59">
        <v>0</v>
      </c>
      <c r="S1009" s="59">
        <v>0</v>
      </c>
      <c r="T1009" s="59"/>
      <c r="U1009" s="115"/>
      <c r="W1009" s="47"/>
      <c r="X1009" s="48">
        <v>4</v>
      </c>
      <c r="Y1009" s="59">
        <v>0</v>
      </c>
      <c r="Z1009" s="59">
        <v>0</v>
      </c>
      <c r="AA1009" s="59"/>
      <c r="AB1009" s="115"/>
      <c r="AD1009" s="47"/>
      <c r="AE1009" s="48">
        <v>4</v>
      </c>
      <c r="AF1009" s="59">
        <v>0</v>
      </c>
      <c r="AG1009" s="59">
        <v>0</v>
      </c>
      <c r="AH1009" s="59"/>
      <c r="AI1009" s="115"/>
      <c r="AK1009" s="47"/>
      <c r="AL1009" s="48">
        <v>4</v>
      </c>
      <c r="AM1009" s="59">
        <v>0</v>
      </c>
      <c r="AN1009" s="59">
        <v>0</v>
      </c>
      <c r="AO1009" s="59"/>
      <c r="AP1009" s="115"/>
      <c r="AR1009" s="56" t="s">
        <v>32</v>
      </c>
      <c r="AS1009" s="57">
        <v>1</v>
      </c>
      <c r="AT1009" s="58">
        <v>11</v>
      </c>
      <c r="AU1009" s="50">
        <f>SUM(AS1009,AT1009)</f>
        <v>12</v>
      </c>
      <c r="AV1009" s="59">
        <f>AU1009/AU1010*100</f>
        <v>4.9382716049382713</v>
      </c>
    </row>
    <row r="1010" spans="2:48" x14ac:dyDescent="0.25">
      <c r="B1010" s="29" t="s">
        <v>32</v>
      </c>
      <c r="C1010" s="30">
        <v>8</v>
      </c>
      <c r="D1010" s="41">
        <v>0</v>
      </c>
      <c r="E1010" s="31">
        <v>3</v>
      </c>
      <c r="F1010" s="41" t="s">
        <v>419</v>
      </c>
      <c r="G1010" s="109">
        <v>7</v>
      </c>
      <c r="I1010" s="29" t="s">
        <v>32</v>
      </c>
      <c r="J1010" s="30">
        <v>8</v>
      </c>
      <c r="K1010" s="41">
        <v>0</v>
      </c>
      <c r="L1010" s="41">
        <v>0</v>
      </c>
      <c r="M1010" s="41"/>
      <c r="N1010" s="109">
        <v>2</v>
      </c>
      <c r="P1010" s="29" t="s">
        <v>32</v>
      </c>
      <c r="Q1010" s="30">
        <v>8</v>
      </c>
      <c r="R1010" s="41">
        <v>0</v>
      </c>
      <c r="S1010" s="41">
        <v>0</v>
      </c>
      <c r="T1010" s="41"/>
      <c r="U1010" s="109">
        <v>2</v>
      </c>
      <c r="W1010" s="503"/>
      <c r="X1010" s="30">
        <v>8</v>
      </c>
      <c r="Y1010" s="41">
        <v>0</v>
      </c>
      <c r="Z1010" s="41">
        <v>0</v>
      </c>
      <c r="AA1010" s="41"/>
      <c r="AB1010" s="109">
        <v>1</v>
      </c>
      <c r="AD1010" s="503"/>
      <c r="AE1010" s="30">
        <v>8</v>
      </c>
      <c r="AF1010" s="41">
        <v>0</v>
      </c>
      <c r="AG1010" s="41">
        <v>0</v>
      </c>
      <c r="AH1010" s="41"/>
      <c r="AI1010" s="109">
        <v>0</v>
      </c>
      <c r="AK1010" s="503"/>
      <c r="AL1010" s="30">
        <v>8</v>
      </c>
      <c r="AM1010" s="41">
        <v>0</v>
      </c>
      <c r="AN1010" s="41">
        <v>0</v>
      </c>
      <c r="AO1010" s="41"/>
      <c r="AP1010" s="109">
        <v>0</v>
      </c>
      <c r="AR1010" s="56" t="s">
        <v>27</v>
      </c>
      <c r="AS1010" s="64">
        <f>SUM(AS1007:AS1009)</f>
        <v>189</v>
      </c>
      <c r="AT1010" s="59">
        <f>SUM(AT1007:AT1009)</f>
        <v>54</v>
      </c>
      <c r="AU1010" s="59">
        <f>SUM(AU1007:AU1009)</f>
        <v>243</v>
      </c>
      <c r="AV1010" s="59"/>
    </row>
    <row r="1011" spans="2:48" x14ac:dyDescent="0.25">
      <c r="B1011" s="42"/>
      <c r="C1011" s="30">
        <v>16</v>
      </c>
      <c r="D1011" s="41">
        <v>0</v>
      </c>
      <c r="E1011" s="31">
        <v>2</v>
      </c>
      <c r="F1011" s="41" t="s">
        <v>420</v>
      </c>
      <c r="G1011" s="172"/>
      <c r="I1011" s="42"/>
      <c r="J1011" s="30">
        <v>16</v>
      </c>
      <c r="K1011" s="41">
        <v>0</v>
      </c>
      <c r="L1011" s="31">
        <v>1</v>
      </c>
      <c r="M1011" s="41" t="s">
        <v>421</v>
      </c>
      <c r="N1011" s="172"/>
      <c r="P1011" s="42"/>
      <c r="Q1011" s="30">
        <v>16</v>
      </c>
      <c r="R1011" s="41">
        <v>0</v>
      </c>
      <c r="S1011" s="41">
        <v>0</v>
      </c>
      <c r="T1011" s="41"/>
      <c r="U1011" s="172"/>
      <c r="W1011" s="503"/>
      <c r="X1011" s="30">
        <v>16</v>
      </c>
      <c r="Y1011" s="41">
        <v>0</v>
      </c>
      <c r="Z1011" s="41">
        <v>0</v>
      </c>
      <c r="AA1011" s="41"/>
      <c r="AB1011" s="172"/>
      <c r="AD1011" s="503"/>
      <c r="AE1011" s="30">
        <v>16</v>
      </c>
      <c r="AF1011" s="41">
        <v>0</v>
      </c>
      <c r="AG1011" s="41">
        <v>0</v>
      </c>
      <c r="AH1011" s="41"/>
      <c r="AI1011" s="172"/>
      <c r="AK1011" s="503"/>
      <c r="AL1011" s="30">
        <v>16</v>
      </c>
      <c r="AM1011" s="41">
        <v>0</v>
      </c>
      <c r="AN1011" s="41">
        <v>0</v>
      </c>
      <c r="AO1011" s="41"/>
      <c r="AP1011" s="172"/>
      <c r="AR1011" s="56" t="s">
        <v>28</v>
      </c>
      <c r="AS1011" s="64">
        <f>AS1010/AU1010*100</f>
        <v>77.777777777777786</v>
      </c>
      <c r="AT1011" s="59">
        <f>AT1010/AU1010*100</f>
        <v>22.222222222222221</v>
      </c>
      <c r="AU1011" s="59"/>
      <c r="AV1011" s="59"/>
    </row>
    <row r="1012" spans="2:48" x14ac:dyDescent="0.25">
      <c r="B1012" s="42"/>
      <c r="C1012" s="30">
        <v>32</v>
      </c>
      <c r="D1012" s="41">
        <v>0</v>
      </c>
      <c r="E1012" s="31">
        <v>2</v>
      </c>
      <c r="F1012" s="41" t="s">
        <v>422</v>
      </c>
      <c r="G1012" s="172"/>
      <c r="I1012" s="42"/>
      <c r="J1012" s="30">
        <v>32</v>
      </c>
      <c r="K1012" s="41">
        <v>0</v>
      </c>
      <c r="L1012" s="41">
        <v>0</v>
      </c>
      <c r="M1012" s="41"/>
      <c r="N1012" s="172"/>
      <c r="P1012" s="42"/>
      <c r="Q1012" s="30">
        <v>32</v>
      </c>
      <c r="R1012" s="41">
        <v>0</v>
      </c>
      <c r="S1012" s="41">
        <v>0</v>
      </c>
      <c r="T1012" s="41"/>
      <c r="U1012" s="172"/>
      <c r="W1012" s="503"/>
      <c r="X1012" s="30">
        <v>32</v>
      </c>
      <c r="Y1012" s="41">
        <v>0</v>
      </c>
      <c r="Z1012" s="31">
        <v>1</v>
      </c>
      <c r="AA1012" s="41" t="s">
        <v>405</v>
      </c>
      <c r="AB1012" s="172"/>
      <c r="AD1012" s="503"/>
      <c r="AE1012" s="30">
        <v>32</v>
      </c>
      <c r="AF1012" s="41">
        <v>0</v>
      </c>
      <c r="AG1012" s="41">
        <v>0</v>
      </c>
      <c r="AH1012" s="41"/>
      <c r="AI1012" s="172"/>
      <c r="AK1012" s="503"/>
      <c r="AL1012" s="30">
        <v>32</v>
      </c>
      <c r="AM1012" s="41">
        <v>0</v>
      </c>
      <c r="AN1012" s="41">
        <v>0</v>
      </c>
      <c r="AO1012" s="41"/>
      <c r="AP1012" s="172"/>
    </row>
    <row r="1013" spans="2:48" x14ac:dyDescent="0.25">
      <c r="B1013" s="47"/>
      <c r="C1013" s="30" t="s">
        <v>101</v>
      </c>
      <c r="D1013" s="41">
        <v>0</v>
      </c>
      <c r="E1013" s="41">
        <v>0</v>
      </c>
      <c r="F1013" s="41"/>
      <c r="G1013" s="115"/>
      <c r="I1013" s="47"/>
      <c r="J1013" s="30" t="s">
        <v>101</v>
      </c>
      <c r="K1013" s="41">
        <v>0</v>
      </c>
      <c r="L1013" s="31">
        <v>1</v>
      </c>
      <c r="M1013" s="41" t="s">
        <v>418</v>
      </c>
      <c r="N1013" s="115"/>
      <c r="P1013" s="47"/>
      <c r="Q1013" s="30" t="s">
        <v>101</v>
      </c>
      <c r="R1013" s="40">
        <v>1</v>
      </c>
      <c r="S1013" s="31">
        <v>1</v>
      </c>
      <c r="T1013" s="41" t="s">
        <v>423</v>
      </c>
      <c r="U1013" s="115"/>
      <c r="W1013" s="504" t="s">
        <v>32</v>
      </c>
      <c r="X1013" s="30" t="s">
        <v>101</v>
      </c>
      <c r="Y1013" s="41">
        <v>0</v>
      </c>
      <c r="Z1013" s="41">
        <v>0</v>
      </c>
      <c r="AA1013" s="41"/>
      <c r="AB1013" s="115"/>
      <c r="AD1013" s="504" t="s">
        <v>32</v>
      </c>
      <c r="AE1013" s="30" t="s">
        <v>101</v>
      </c>
      <c r="AF1013" s="41">
        <v>0</v>
      </c>
      <c r="AG1013" s="41">
        <v>0</v>
      </c>
      <c r="AH1013" s="41"/>
      <c r="AI1013" s="115"/>
      <c r="AK1013" s="504" t="s">
        <v>32</v>
      </c>
      <c r="AL1013" s="30" t="s">
        <v>101</v>
      </c>
      <c r="AM1013" s="41">
        <v>0</v>
      </c>
      <c r="AN1013" s="41">
        <v>0</v>
      </c>
      <c r="AO1013" s="41"/>
      <c r="AP1013" s="115"/>
    </row>
    <row r="1014" spans="2:48" ht="15.75" thickBot="1" x14ac:dyDescent="0.3">
      <c r="B1014" s="476"/>
      <c r="C1014" s="477"/>
      <c r="D1014" s="478">
        <v>156</v>
      </c>
      <c r="E1014" s="478">
        <v>15</v>
      </c>
      <c r="F1014" s="478"/>
      <c r="G1014" s="479">
        <v>171</v>
      </c>
      <c r="I1014" s="476"/>
      <c r="J1014" s="477"/>
      <c r="K1014" s="478">
        <v>10</v>
      </c>
      <c r="L1014" s="478">
        <v>24</v>
      </c>
      <c r="M1014" s="478"/>
      <c r="N1014" s="479">
        <v>34</v>
      </c>
      <c r="P1014" s="476"/>
      <c r="Q1014" s="477"/>
      <c r="R1014" s="478">
        <v>3</v>
      </c>
      <c r="S1014" s="478">
        <v>7</v>
      </c>
      <c r="T1014" s="478"/>
      <c r="U1014" s="479">
        <v>10</v>
      </c>
      <c r="W1014" s="476"/>
      <c r="X1014" s="477"/>
      <c r="Y1014" s="478">
        <v>5</v>
      </c>
      <c r="Z1014" s="478">
        <v>5</v>
      </c>
      <c r="AA1014" s="478"/>
      <c r="AB1014" s="479">
        <v>10</v>
      </c>
      <c r="AD1014" s="476"/>
      <c r="AE1014" s="477"/>
      <c r="AF1014" s="478">
        <v>10</v>
      </c>
      <c r="AG1014" s="478">
        <v>0</v>
      </c>
      <c r="AH1014" s="478"/>
      <c r="AI1014" s="479">
        <v>10</v>
      </c>
      <c r="AK1014" s="476"/>
      <c r="AL1014" s="477"/>
      <c r="AM1014" s="478">
        <v>5</v>
      </c>
      <c r="AN1014" s="478">
        <v>3</v>
      </c>
      <c r="AO1014" s="478"/>
      <c r="AP1014" s="479">
        <v>8</v>
      </c>
    </row>
    <row r="1015" spans="2:48" x14ac:dyDescent="0.25">
      <c r="C1015" s="78"/>
      <c r="J1015" s="78"/>
      <c r="Q1015" s="78"/>
      <c r="X1015" s="78"/>
      <c r="AE1015" s="78"/>
      <c r="AL1015" s="78"/>
    </row>
    <row r="1016" spans="2:48" ht="19.5" thickBot="1" x14ac:dyDescent="0.35">
      <c r="B1016" s="9" t="s">
        <v>198</v>
      </c>
      <c r="C1016" s="204" t="s">
        <v>424</v>
      </c>
      <c r="D1016" s="12"/>
      <c r="I1016" s="9" t="s">
        <v>198</v>
      </c>
      <c r="J1016" s="204" t="s">
        <v>424</v>
      </c>
      <c r="P1016" s="9" t="s">
        <v>198</v>
      </c>
      <c r="Q1016" s="204" t="s">
        <v>424</v>
      </c>
      <c r="W1016" s="9" t="s">
        <v>198</v>
      </c>
      <c r="X1016" s="204" t="s">
        <v>424</v>
      </c>
      <c r="AD1016" s="9" t="s">
        <v>198</v>
      </c>
      <c r="AE1016" s="204" t="s">
        <v>424</v>
      </c>
      <c r="AK1016" s="9" t="s">
        <v>198</v>
      </c>
      <c r="AL1016" s="204" t="s">
        <v>424</v>
      </c>
      <c r="AR1016" s="9" t="s">
        <v>425</v>
      </c>
    </row>
    <row r="1017" spans="2:48" ht="30" x14ac:dyDescent="0.25">
      <c r="B1017" s="20" t="s">
        <v>22</v>
      </c>
      <c r="C1017" s="21" t="s">
        <v>23</v>
      </c>
      <c r="D1017" s="21" t="s">
        <v>24</v>
      </c>
      <c r="E1017" s="21" t="s">
        <v>25</v>
      </c>
      <c r="F1017" s="22" t="s">
        <v>26</v>
      </c>
      <c r="G1017" s="23" t="s">
        <v>27</v>
      </c>
      <c r="I1017" s="20" t="s">
        <v>22</v>
      </c>
      <c r="J1017" s="21" t="s">
        <v>23</v>
      </c>
      <c r="K1017" s="21" t="s">
        <v>24</v>
      </c>
      <c r="L1017" s="21" t="s">
        <v>25</v>
      </c>
      <c r="M1017" s="22" t="s">
        <v>26</v>
      </c>
      <c r="N1017" s="23" t="s">
        <v>27</v>
      </c>
      <c r="P1017" s="20" t="s">
        <v>22</v>
      </c>
      <c r="Q1017" s="21" t="s">
        <v>23</v>
      </c>
      <c r="R1017" s="21" t="s">
        <v>24</v>
      </c>
      <c r="S1017" s="21" t="s">
        <v>25</v>
      </c>
      <c r="T1017" s="22" t="s">
        <v>26</v>
      </c>
      <c r="U1017" s="23" t="s">
        <v>27</v>
      </c>
      <c r="W1017" s="20" t="s">
        <v>22</v>
      </c>
      <c r="X1017" s="21" t="s">
        <v>23</v>
      </c>
      <c r="Y1017" s="21" t="s">
        <v>24</v>
      </c>
      <c r="Z1017" s="21" t="s">
        <v>25</v>
      </c>
      <c r="AA1017" s="22" t="s">
        <v>26</v>
      </c>
      <c r="AB1017" s="23" t="s">
        <v>27</v>
      </c>
      <c r="AD1017" s="20" t="s">
        <v>22</v>
      </c>
      <c r="AE1017" s="21" t="s">
        <v>23</v>
      </c>
      <c r="AF1017" s="21" t="s">
        <v>24</v>
      </c>
      <c r="AG1017" s="21" t="s">
        <v>25</v>
      </c>
      <c r="AH1017" s="22" t="s">
        <v>26</v>
      </c>
      <c r="AI1017" s="23" t="s">
        <v>27</v>
      </c>
      <c r="AK1017" s="20" t="s">
        <v>22</v>
      </c>
      <c r="AL1017" s="21" t="s">
        <v>23</v>
      </c>
      <c r="AM1017" s="21" t="s">
        <v>24</v>
      </c>
      <c r="AN1017" s="21" t="s">
        <v>25</v>
      </c>
      <c r="AO1017" s="22" t="s">
        <v>26</v>
      </c>
      <c r="AP1017" s="23" t="s">
        <v>27</v>
      </c>
      <c r="AR1017" s="25"/>
      <c r="AS1017" s="26" t="s">
        <v>24</v>
      </c>
      <c r="AT1017" s="27" t="s">
        <v>25</v>
      </c>
      <c r="AU1017" s="27" t="s">
        <v>27</v>
      </c>
      <c r="AV1017" s="28" t="s">
        <v>28</v>
      </c>
    </row>
    <row r="1018" spans="2:48" x14ac:dyDescent="0.25">
      <c r="B1018" s="463" t="s">
        <v>29</v>
      </c>
      <c r="C1018" s="464" t="s">
        <v>82</v>
      </c>
      <c r="D1018" s="480">
        <v>157</v>
      </c>
      <c r="E1018" s="499">
        <v>5</v>
      </c>
      <c r="F1018" s="500" t="s">
        <v>426</v>
      </c>
      <c r="G1018" s="468">
        <v>162</v>
      </c>
      <c r="I1018" s="463" t="s">
        <v>29</v>
      </c>
      <c r="J1018" s="464" t="s">
        <v>82</v>
      </c>
      <c r="K1018" s="480">
        <v>19</v>
      </c>
      <c r="L1018" s="499">
        <v>11</v>
      </c>
      <c r="M1018" s="501" t="s">
        <v>427</v>
      </c>
      <c r="N1018" s="502">
        <v>30</v>
      </c>
      <c r="P1018" s="463" t="s">
        <v>29</v>
      </c>
      <c r="Q1018" s="464" t="s">
        <v>82</v>
      </c>
      <c r="R1018" s="480">
        <v>8</v>
      </c>
      <c r="S1018" s="28">
        <v>0</v>
      </c>
      <c r="T1018" s="28"/>
      <c r="U1018" s="502">
        <v>8</v>
      </c>
      <c r="W1018" s="463" t="s">
        <v>29</v>
      </c>
      <c r="X1018" s="464" t="s">
        <v>82</v>
      </c>
      <c r="Y1018" s="480">
        <v>9</v>
      </c>
      <c r="Z1018" s="28">
        <v>0</v>
      </c>
      <c r="AA1018" s="28"/>
      <c r="AB1018" s="502">
        <v>9</v>
      </c>
      <c r="AD1018" s="463" t="s">
        <v>29</v>
      </c>
      <c r="AE1018" s="464" t="s">
        <v>82</v>
      </c>
      <c r="AF1018" s="480">
        <v>10</v>
      </c>
      <c r="AG1018" s="28">
        <v>0</v>
      </c>
      <c r="AH1018" s="28"/>
      <c r="AI1018" s="502">
        <v>10</v>
      </c>
      <c r="AK1018" s="463" t="s">
        <v>29</v>
      </c>
      <c r="AL1018" s="464" t="s">
        <v>82</v>
      </c>
      <c r="AM1018" s="480">
        <v>8</v>
      </c>
      <c r="AN1018" s="28">
        <v>0</v>
      </c>
      <c r="AO1018" s="28"/>
      <c r="AP1018" s="502">
        <v>8</v>
      </c>
      <c r="AR1018" s="38" t="s">
        <v>29</v>
      </c>
      <c r="AS1018" s="39">
        <v>211</v>
      </c>
      <c r="AT1018" s="40">
        <v>16</v>
      </c>
      <c r="AU1018" s="32">
        <f>SUM(AS1018,AT1018)</f>
        <v>227</v>
      </c>
      <c r="AV1018" s="41">
        <f>AU1018/AU1021*100</f>
        <v>93.415637860082299</v>
      </c>
    </row>
    <row r="1019" spans="2:48" x14ac:dyDescent="0.25">
      <c r="B1019" s="60" t="s">
        <v>31</v>
      </c>
      <c r="C1019" s="112">
        <v>2</v>
      </c>
      <c r="D1019" s="59">
        <v>0</v>
      </c>
      <c r="E1019" s="59">
        <v>0</v>
      </c>
      <c r="F1019" s="59"/>
      <c r="G1019" s="118">
        <v>0</v>
      </c>
      <c r="I1019" s="60" t="s">
        <v>31</v>
      </c>
      <c r="J1019" s="112">
        <v>2</v>
      </c>
      <c r="K1019" s="59">
        <v>0</v>
      </c>
      <c r="L1019" s="59">
        <v>0</v>
      </c>
      <c r="M1019" s="59"/>
      <c r="N1019" s="382">
        <v>0</v>
      </c>
      <c r="P1019" s="60" t="s">
        <v>31</v>
      </c>
      <c r="Q1019" s="112">
        <v>2</v>
      </c>
      <c r="R1019" s="59">
        <v>0</v>
      </c>
      <c r="S1019" s="59">
        <v>0</v>
      </c>
      <c r="T1019" s="59"/>
      <c r="U1019" s="382">
        <v>0</v>
      </c>
      <c r="W1019" s="60" t="s">
        <v>31</v>
      </c>
      <c r="X1019" s="112">
        <v>2</v>
      </c>
      <c r="Y1019" s="59">
        <v>0</v>
      </c>
      <c r="Z1019" s="59">
        <v>0</v>
      </c>
      <c r="AA1019" s="59"/>
      <c r="AB1019" s="382">
        <v>0</v>
      </c>
      <c r="AD1019" s="60" t="s">
        <v>31</v>
      </c>
      <c r="AE1019" s="112">
        <v>2</v>
      </c>
      <c r="AF1019" s="59">
        <v>0</v>
      </c>
      <c r="AG1019" s="59">
        <v>0</v>
      </c>
      <c r="AH1019" s="59"/>
      <c r="AI1019" s="382">
        <v>0</v>
      </c>
      <c r="AK1019" s="60" t="s">
        <v>31</v>
      </c>
      <c r="AL1019" s="112">
        <v>2</v>
      </c>
      <c r="AM1019" s="59">
        <v>0</v>
      </c>
      <c r="AN1019" s="59">
        <v>0</v>
      </c>
      <c r="AO1019" s="59"/>
      <c r="AP1019" s="382">
        <v>0</v>
      </c>
      <c r="AR1019" s="38" t="s">
        <v>31</v>
      </c>
      <c r="AS1019" s="2">
        <v>0</v>
      </c>
      <c r="AT1019" s="40">
        <v>0</v>
      </c>
      <c r="AU1019" s="41">
        <v>0</v>
      </c>
      <c r="AV1019" s="41">
        <v>0</v>
      </c>
    </row>
    <row r="1020" spans="2:48" x14ac:dyDescent="0.25">
      <c r="B1020" s="29" t="s">
        <v>32</v>
      </c>
      <c r="C1020" s="30">
        <v>4</v>
      </c>
      <c r="D1020" s="41">
        <v>0</v>
      </c>
      <c r="E1020" s="41">
        <v>0</v>
      </c>
      <c r="F1020" s="41"/>
      <c r="G1020" s="120">
        <v>9</v>
      </c>
      <c r="I1020" s="29" t="s">
        <v>32</v>
      </c>
      <c r="J1020" s="30">
        <v>4</v>
      </c>
      <c r="K1020" s="41">
        <v>0</v>
      </c>
      <c r="L1020" s="41">
        <v>0</v>
      </c>
      <c r="M1020" s="41"/>
      <c r="N1020" s="109">
        <v>4</v>
      </c>
      <c r="P1020" s="29" t="s">
        <v>32</v>
      </c>
      <c r="Q1020" s="30">
        <v>4</v>
      </c>
      <c r="R1020" s="41">
        <v>0</v>
      </c>
      <c r="S1020" s="41">
        <v>0</v>
      </c>
      <c r="T1020" s="41"/>
      <c r="U1020" s="109">
        <v>2</v>
      </c>
      <c r="W1020" s="29" t="s">
        <v>32</v>
      </c>
      <c r="X1020" s="30">
        <v>4</v>
      </c>
      <c r="Y1020" s="41">
        <v>0</v>
      </c>
      <c r="Z1020" s="41">
        <v>0</v>
      </c>
      <c r="AA1020" s="41"/>
      <c r="AB1020" s="109">
        <v>1</v>
      </c>
      <c r="AD1020" s="29" t="s">
        <v>32</v>
      </c>
      <c r="AE1020" s="30">
        <v>4</v>
      </c>
      <c r="AF1020" s="41">
        <v>0</v>
      </c>
      <c r="AG1020" s="41">
        <v>0</v>
      </c>
      <c r="AH1020" s="41"/>
      <c r="AI1020" s="109">
        <v>0</v>
      </c>
      <c r="AK1020" s="29" t="s">
        <v>32</v>
      </c>
      <c r="AL1020" s="30">
        <v>4</v>
      </c>
      <c r="AM1020" s="41">
        <v>0</v>
      </c>
      <c r="AN1020" s="41">
        <v>0</v>
      </c>
      <c r="AO1020" s="41"/>
      <c r="AP1020" s="109">
        <v>0</v>
      </c>
      <c r="AR1020" s="56" t="s">
        <v>32</v>
      </c>
      <c r="AS1020" s="57">
        <v>4</v>
      </c>
      <c r="AT1020" s="58">
        <v>12</v>
      </c>
      <c r="AU1020" s="50">
        <f>SUM(AS1020,AT1020)</f>
        <v>16</v>
      </c>
      <c r="AV1020" s="59">
        <f>AU1020/AU1021*100</f>
        <v>6.5843621399176957</v>
      </c>
    </row>
    <row r="1021" spans="2:48" x14ac:dyDescent="0.25">
      <c r="B1021" s="42"/>
      <c r="C1021" s="30">
        <v>8</v>
      </c>
      <c r="D1021" s="41">
        <v>0</v>
      </c>
      <c r="E1021" s="41">
        <v>0</v>
      </c>
      <c r="F1021" s="41"/>
      <c r="G1021" s="135"/>
      <c r="I1021" s="42"/>
      <c r="J1021" s="30">
        <v>8</v>
      </c>
      <c r="K1021" s="41">
        <v>0</v>
      </c>
      <c r="L1021" s="41">
        <v>0</v>
      </c>
      <c r="M1021" s="41"/>
      <c r="N1021" s="172"/>
      <c r="P1021" s="42"/>
      <c r="Q1021" s="30">
        <v>8</v>
      </c>
      <c r="R1021" s="41">
        <v>0</v>
      </c>
      <c r="S1021" s="41">
        <v>0</v>
      </c>
      <c r="T1021" s="41"/>
      <c r="U1021" s="172"/>
      <c r="W1021" s="42"/>
      <c r="X1021" s="30">
        <v>8</v>
      </c>
      <c r="Y1021" s="41">
        <v>0</v>
      </c>
      <c r="Z1021" s="41">
        <v>0</v>
      </c>
      <c r="AA1021" s="41"/>
      <c r="AB1021" s="172"/>
      <c r="AD1021" s="42"/>
      <c r="AE1021" s="30">
        <v>8</v>
      </c>
      <c r="AF1021" s="41">
        <v>0</v>
      </c>
      <c r="AG1021" s="41">
        <v>0</v>
      </c>
      <c r="AH1021" s="41"/>
      <c r="AI1021" s="172"/>
      <c r="AK1021" s="42"/>
      <c r="AL1021" s="30">
        <v>8</v>
      </c>
      <c r="AM1021" s="41">
        <v>0</v>
      </c>
      <c r="AN1021" s="41">
        <v>0</v>
      </c>
      <c r="AO1021" s="41"/>
      <c r="AP1021" s="172"/>
      <c r="AR1021" s="56" t="s">
        <v>27</v>
      </c>
      <c r="AS1021" s="64">
        <f>SUM(AS1018,AS1020)</f>
        <v>215</v>
      </c>
      <c r="AT1021" s="50">
        <f>SUM(AT1018,AT1020)</f>
        <v>28</v>
      </c>
      <c r="AU1021" s="50">
        <f>SUM(AS1018:AT1020)</f>
        <v>243</v>
      </c>
      <c r="AV1021" s="59"/>
    </row>
    <row r="1022" spans="2:48" x14ac:dyDescent="0.25">
      <c r="B1022" s="42"/>
      <c r="C1022" s="30">
        <v>16</v>
      </c>
      <c r="D1022" s="41">
        <v>0</v>
      </c>
      <c r="E1022" s="31">
        <v>1</v>
      </c>
      <c r="F1022" s="41" t="s">
        <v>418</v>
      </c>
      <c r="G1022" s="135"/>
      <c r="I1022" s="42"/>
      <c r="J1022" s="30">
        <v>16</v>
      </c>
      <c r="K1022" s="40">
        <v>1</v>
      </c>
      <c r="L1022" s="41">
        <v>0</v>
      </c>
      <c r="M1022" s="41"/>
      <c r="N1022" s="172"/>
      <c r="P1022" s="42"/>
      <c r="Q1022" s="30">
        <v>16</v>
      </c>
      <c r="R1022" s="41">
        <v>0</v>
      </c>
      <c r="S1022" s="41">
        <v>0</v>
      </c>
      <c r="T1022" s="41"/>
      <c r="U1022" s="172"/>
      <c r="W1022" s="42"/>
      <c r="X1022" s="30">
        <v>16</v>
      </c>
      <c r="Y1022" s="40">
        <v>1</v>
      </c>
      <c r="Z1022" s="41">
        <v>0</v>
      </c>
      <c r="AA1022" s="41"/>
      <c r="AB1022" s="172"/>
      <c r="AD1022" s="42"/>
      <c r="AE1022" s="30">
        <v>16</v>
      </c>
      <c r="AF1022" s="41">
        <v>0</v>
      </c>
      <c r="AG1022" s="41">
        <v>0</v>
      </c>
      <c r="AH1022" s="41"/>
      <c r="AI1022" s="172"/>
      <c r="AK1022" s="42"/>
      <c r="AL1022" s="30">
        <v>16</v>
      </c>
      <c r="AM1022" s="41">
        <v>0</v>
      </c>
      <c r="AN1022" s="41">
        <v>0</v>
      </c>
      <c r="AO1022" s="41"/>
      <c r="AP1022" s="172"/>
      <c r="AR1022" s="56" t="s">
        <v>28</v>
      </c>
      <c r="AS1022" s="64">
        <f>AS1021/AU1021*100</f>
        <v>88.477366255144034</v>
      </c>
      <c r="AT1022" s="59">
        <f>AT1021/AU1021*100</f>
        <v>11.522633744855968</v>
      </c>
      <c r="AU1022" s="59"/>
      <c r="AV1022" s="59"/>
    </row>
    <row r="1023" spans="2:48" x14ac:dyDescent="0.25">
      <c r="B1023" s="42"/>
      <c r="C1023" s="30">
        <v>32</v>
      </c>
      <c r="D1023" s="41">
        <v>0</v>
      </c>
      <c r="E1023" s="41">
        <v>0</v>
      </c>
      <c r="F1023" s="41"/>
      <c r="G1023" s="135"/>
      <c r="I1023" s="42"/>
      <c r="J1023" s="30">
        <v>32</v>
      </c>
      <c r="K1023" s="41">
        <v>0</v>
      </c>
      <c r="L1023" s="31">
        <v>1</v>
      </c>
      <c r="M1023" s="41" t="s">
        <v>428</v>
      </c>
      <c r="N1023" s="172"/>
      <c r="P1023" s="42"/>
      <c r="Q1023" s="30">
        <v>32</v>
      </c>
      <c r="R1023" s="41">
        <v>0</v>
      </c>
      <c r="S1023" s="41">
        <v>0</v>
      </c>
      <c r="T1023" s="41"/>
      <c r="U1023" s="172"/>
      <c r="W1023" s="42"/>
      <c r="X1023" s="30">
        <v>32</v>
      </c>
      <c r="Y1023" s="41">
        <v>0</v>
      </c>
      <c r="Z1023" s="41">
        <v>0</v>
      </c>
      <c r="AA1023" s="41"/>
      <c r="AB1023" s="172"/>
      <c r="AD1023" s="42"/>
      <c r="AE1023" s="30">
        <v>32</v>
      </c>
      <c r="AF1023" s="41">
        <v>0</v>
      </c>
      <c r="AG1023" s="41">
        <v>0</v>
      </c>
      <c r="AH1023" s="41"/>
      <c r="AI1023" s="172"/>
      <c r="AK1023" s="42"/>
      <c r="AL1023" s="30">
        <v>32</v>
      </c>
      <c r="AM1023" s="41">
        <v>0</v>
      </c>
      <c r="AN1023" s="41">
        <v>0</v>
      </c>
      <c r="AO1023" s="41"/>
      <c r="AP1023" s="172"/>
    </row>
    <row r="1024" spans="2:48" x14ac:dyDescent="0.25">
      <c r="B1024" s="42"/>
      <c r="C1024" s="30">
        <v>64</v>
      </c>
      <c r="D1024" s="41">
        <v>0</v>
      </c>
      <c r="E1024" s="31">
        <v>1</v>
      </c>
      <c r="F1024" s="41" t="s">
        <v>418</v>
      </c>
      <c r="G1024" s="135"/>
      <c r="I1024" s="42"/>
      <c r="J1024" s="30">
        <v>64</v>
      </c>
      <c r="K1024" s="41">
        <v>0</v>
      </c>
      <c r="L1024" s="41">
        <v>0</v>
      </c>
      <c r="M1024" s="41"/>
      <c r="N1024" s="172"/>
      <c r="P1024" s="42"/>
      <c r="Q1024" s="30">
        <v>64</v>
      </c>
      <c r="R1024" s="40">
        <v>1</v>
      </c>
      <c r="S1024" s="41">
        <v>0</v>
      </c>
      <c r="T1024" s="41"/>
      <c r="U1024" s="172"/>
      <c r="W1024" s="42"/>
      <c r="X1024" s="30">
        <v>64</v>
      </c>
      <c r="Y1024" s="41">
        <v>0</v>
      </c>
      <c r="Z1024" s="41">
        <v>0</v>
      </c>
      <c r="AA1024" s="41"/>
      <c r="AB1024" s="172"/>
      <c r="AD1024" s="42"/>
      <c r="AE1024" s="30">
        <v>64</v>
      </c>
      <c r="AF1024" s="41">
        <v>0</v>
      </c>
      <c r="AG1024" s="41">
        <v>0</v>
      </c>
      <c r="AH1024" s="41"/>
      <c r="AI1024" s="172"/>
      <c r="AK1024" s="42"/>
      <c r="AL1024" s="30">
        <v>64</v>
      </c>
      <c r="AM1024" s="41">
        <v>0</v>
      </c>
      <c r="AN1024" s="41">
        <v>0</v>
      </c>
      <c r="AO1024" s="41"/>
      <c r="AP1024" s="172"/>
    </row>
    <row r="1025" spans="2:48" x14ac:dyDescent="0.25">
      <c r="B1025" s="47"/>
      <c r="C1025" s="30" t="s">
        <v>407</v>
      </c>
      <c r="D1025" s="41">
        <v>0</v>
      </c>
      <c r="E1025" s="31">
        <v>7</v>
      </c>
      <c r="F1025" s="41" t="s">
        <v>429</v>
      </c>
      <c r="G1025" s="121"/>
      <c r="I1025" s="47"/>
      <c r="J1025" s="30" t="s">
        <v>407</v>
      </c>
      <c r="K1025" s="41">
        <v>0</v>
      </c>
      <c r="L1025" s="31">
        <v>2</v>
      </c>
      <c r="M1025" s="41" t="s">
        <v>422</v>
      </c>
      <c r="N1025" s="115"/>
      <c r="P1025" s="47"/>
      <c r="Q1025" s="30" t="s">
        <v>407</v>
      </c>
      <c r="R1025" s="40">
        <v>1</v>
      </c>
      <c r="S1025" s="41">
        <v>0</v>
      </c>
      <c r="T1025" s="41"/>
      <c r="U1025" s="115"/>
      <c r="W1025" s="47"/>
      <c r="X1025" s="30" t="s">
        <v>407</v>
      </c>
      <c r="Y1025" s="41">
        <v>0</v>
      </c>
      <c r="Z1025" s="41">
        <v>0</v>
      </c>
      <c r="AA1025" s="41"/>
      <c r="AB1025" s="115"/>
      <c r="AD1025" s="47"/>
      <c r="AE1025" s="30" t="s">
        <v>407</v>
      </c>
      <c r="AF1025" s="41">
        <v>0</v>
      </c>
      <c r="AG1025" s="41">
        <v>0</v>
      </c>
      <c r="AH1025" s="41"/>
      <c r="AI1025" s="115"/>
      <c r="AK1025" s="47"/>
      <c r="AL1025" s="30" t="s">
        <v>407</v>
      </c>
      <c r="AM1025" s="41">
        <v>0</v>
      </c>
      <c r="AN1025" s="41">
        <v>0</v>
      </c>
      <c r="AO1025" s="41"/>
      <c r="AP1025" s="115"/>
    </row>
    <row r="1026" spans="2:48" ht="15.75" thickBot="1" x14ac:dyDescent="0.3">
      <c r="B1026" s="476"/>
      <c r="C1026" s="477"/>
      <c r="D1026" s="478">
        <v>157</v>
      </c>
      <c r="E1026" s="478"/>
      <c r="F1026" s="478"/>
      <c r="G1026" s="479">
        <v>171</v>
      </c>
      <c r="I1026" s="476"/>
      <c r="J1026" s="477"/>
      <c r="K1026" s="478">
        <v>20</v>
      </c>
      <c r="L1026" s="478">
        <v>14</v>
      </c>
      <c r="M1026" s="478"/>
      <c r="N1026" s="479">
        <v>34</v>
      </c>
      <c r="P1026" s="476"/>
      <c r="Q1026" s="477"/>
      <c r="R1026" s="478">
        <v>10</v>
      </c>
      <c r="S1026" s="478">
        <v>0</v>
      </c>
      <c r="T1026" s="478"/>
      <c r="U1026" s="479">
        <v>10</v>
      </c>
      <c r="W1026" s="476"/>
      <c r="X1026" s="477"/>
      <c r="Y1026" s="478">
        <v>10</v>
      </c>
      <c r="Z1026" s="478">
        <v>0</v>
      </c>
      <c r="AA1026" s="478"/>
      <c r="AB1026" s="479">
        <v>10</v>
      </c>
      <c r="AD1026" s="476"/>
      <c r="AE1026" s="477"/>
      <c r="AF1026" s="478">
        <v>10</v>
      </c>
      <c r="AG1026" s="478">
        <v>0</v>
      </c>
      <c r="AH1026" s="478"/>
      <c r="AI1026" s="479">
        <v>10</v>
      </c>
      <c r="AK1026" s="476"/>
      <c r="AL1026" s="477"/>
      <c r="AM1026" s="478">
        <v>8</v>
      </c>
      <c r="AN1026" s="478">
        <v>0</v>
      </c>
      <c r="AO1026" s="478"/>
      <c r="AP1026" s="479">
        <v>8</v>
      </c>
    </row>
    <row r="1027" spans="2:48" x14ac:dyDescent="0.25">
      <c r="C1027" s="78"/>
      <c r="J1027" s="78"/>
      <c r="Q1027" s="78"/>
      <c r="X1027" s="78"/>
      <c r="AE1027" s="78"/>
      <c r="AL1027" s="78"/>
    </row>
    <row r="1028" spans="2:48" ht="19.5" thickBot="1" x14ac:dyDescent="0.35">
      <c r="B1028" s="9" t="s">
        <v>430</v>
      </c>
      <c r="C1028" s="78"/>
      <c r="D1028" s="12"/>
      <c r="I1028" s="9" t="s">
        <v>430</v>
      </c>
      <c r="J1028" s="78"/>
      <c r="P1028" s="9" t="s">
        <v>430</v>
      </c>
      <c r="Q1028" s="78"/>
      <c r="W1028" s="9" t="s">
        <v>430</v>
      </c>
      <c r="X1028" s="78"/>
      <c r="AD1028" s="9" t="s">
        <v>430</v>
      </c>
      <c r="AE1028" s="78"/>
      <c r="AK1028" s="9" t="s">
        <v>430</v>
      </c>
      <c r="AL1028" s="78"/>
      <c r="AR1028" s="9" t="s">
        <v>431</v>
      </c>
    </row>
    <row r="1029" spans="2:48" ht="30" x14ac:dyDescent="0.25">
      <c r="B1029" s="20" t="s">
        <v>22</v>
      </c>
      <c r="C1029" s="21" t="s">
        <v>23</v>
      </c>
      <c r="D1029" s="21" t="s">
        <v>24</v>
      </c>
      <c r="E1029" s="21" t="s">
        <v>25</v>
      </c>
      <c r="F1029" s="22" t="s">
        <v>26</v>
      </c>
      <c r="G1029" s="23" t="s">
        <v>27</v>
      </c>
      <c r="I1029" s="20" t="s">
        <v>22</v>
      </c>
      <c r="J1029" s="21" t="s">
        <v>23</v>
      </c>
      <c r="K1029" s="21" t="s">
        <v>24</v>
      </c>
      <c r="L1029" s="21" t="s">
        <v>25</v>
      </c>
      <c r="M1029" s="22" t="s">
        <v>26</v>
      </c>
      <c r="N1029" s="23" t="s">
        <v>27</v>
      </c>
      <c r="P1029" s="20" t="s">
        <v>22</v>
      </c>
      <c r="Q1029" s="21" t="s">
        <v>23</v>
      </c>
      <c r="R1029" s="21" t="s">
        <v>24</v>
      </c>
      <c r="S1029" s="21" t="s">
        <v>25</v>
      </c>
      <c r="T1029" s="22" t="s">
        <v>26</v>
      </c>
      <c r="U1029" s="23" t="s">
        <v>27</v>
      </c>
      <c r="W1029" s="20" t="s">
        <v>22</v>
      </c>
      <c r="X1029" s="21" t="s">
        <v>23</v>
      </c>
      <c r="Y1029" s="21" t="s">
        <v>24</v>
      </c>
      <c r="Z1029" s="21" t="s">
        <v>25</v>
      </c>
      <c r="AA1029" s="22" t="s">
        <v>26</v>
      </c>
      <c r="AB1029" s="23" t="s">
        <v>27</v>
      </c>
      <c r="AD1029" s="20" t="s">
        <v>22</v>
      </c>
      <c r="AE1029" s="21" t="s">
        <v>23</v>
      </c>
      <c r="AF1029" s="21" t="s">
        <v>24</v>
      </c>
      <c r="AG1029" s="21" t="s">
        <v>25</v>
      </c>
      <c r="AH1029" s="22" t="s">
        <v>26</v>
      </c>
      <c r="AI1029" s="23" t="s">
        <v>27</v>
      </c>
      <c r="AK1029" s="20" t="s">
        <v>22</v>
      </c>
      <c r="AL1029" s="21" t="s">
        <v>23</v>
      </c>
      <c r="AM1029" s="21" t="s">
        <v>24</v>
      </c>
      <c r="AN1029" s="21" t="s">
        <v>25</v>
      </c>
      <c r="AO1029" s="22" t="s">
        <v>26</v>
      </c>
      <c r="AP1029" s="23" t="s">
        <v>27</v>
      </c>
      <c r="AR1029" s="25"/>
      <c r="AS1029" s="26" t="s">
        <v>24</v>
      </c>
      <c r="AT1029" s="27" t="s">
        <v>25</v>
      </c>
      <c r="AU1029" s="27" t="s">
        <v>27</v>
      </c>
      <c r="AV1029" s="28" t="s">
        <v>28</v>
      </c>
    </row>
    <row r="1030" spans="2:48" x14ac:dyDescent="0.25">
      <c r="B1030" s="60" t="s">
        <v>432</v>
      </c>
      <c r="C1030" s="48" t="s">
        <v>389</v>
      </c>
      <c r="D1030" s="58">
        <v>154</v>
      </c>
      <c r="E1030" s="132">
        <v>13</v>
      </c>
      <c r="F1030" s="114" t="s">
        <v>433</v>
      </c>
      <c r="G1030" s="118">
        <v>167</v>
      </c>
      <c r="I1030" s="60" t="s">
        <v>432</v>
      </c>
      <c r="J1030" s="48" t="s">
        <v>389</v>
      </c>
      <c r="K1030" s="58">
        <v>20</v>
      </c>
      <c r="L1030" s="132">
        <v>13</v>
      </c>
      <c r="M1030" s="114" t="s">
        <v>434</v>
      </c>
      <c r="N1030" s="118">
        <v>33</v>
      </c>
      <c r="P1030" s="60" t="s">
        <v>432</v>
      </c>
      <c r="Q1030" s="48" t="s">
        <v>389</v>
      </c>
      <c r="R1030" s="58">
        <v>10</v>
      </c>
      <c r="S1030" s="59">
        <v>0</v>
      </c>
      <c r="T1030" s="59"/>
      <c r="U1030" s="118">
        <v>10</v>
      </c>
      <c r="W1030" s="60" t="s">
        <v>432</v>
      </c>
      <c r="X1030" s="48" t="s">
        <v>389</v>
      </c>
      <c r="Y1030" s="58">
        <v>10</v>
      </c>
      <c r="Z1030" s="59">
        <v>0</v>
      </c>
      <c r="AA1030" s="59"/>
      <c r="AB1030" s="118">
        <v>10</v>
      </c>
      <c r="AD1030" s="60" t="s">
        <v>432</v>
      </c>
      <c r="AE1030" s="48" t="s">
        <v>389</v>
      </c>
      <c r="AF1030" s="58">
        <v>10</v>
      </c>
      <c r="AG1030" s="59">
        <v>0</v>
      </c>
      <c r="AH1030" s="59"/>
      <c r="AI1030" s="118">
        <v>10</v>
      </c>
      <c r="AK1030" s="60" t="s">
        <v>432</v>
      </c>
      <c r="AL1030" s="48" t="s">
        <v>389</v>
      </c>
      <c r="AM1030" s="58">
        <v>8</v>
      </c>
      <c r="AN1030" s="59">
        <v>0</v>
      </c>
      <c r="AO1030" s="59"/>
      <c r="AP1030" s="118">
        <v>8</v>
      </c>
      <c r="AR1030" s="38" t="s">
        <v>403</v>
      </c>
      <c r="AS1030" s="39">
        <v>212</v>
      </c>
      <c r="AT1030" s="40">
        <v>26</v>
      </c>
      <c r="AU1030" s="32">
        <f>SUM(AS1030,AT1030)</f>
        <v>238</v>
      </c>
      <c r="AV1030" s="41">
        <f>AU1030/AU1032*100</f>
        <v>97.942386831275712</v>
      </c>
    </row>
    <row r="1031" spans="2:48" x14ac:dyDescent="0.25">
      <c r="B1031" s="29" t="s">
        <v>32</v>
      </c>
      <c r="C1031" s="481">
        <v>8</v>
      </c>
      <c r="D1031" s="41">
        <v>0</v>
      </c>
      <c r="E1031" s="31">
        <v>2</v>
      </c>
      <c r="F1031" s="41" t="s">
        <v>435</v>
      </c>
      <c r="G1031" s="120">
        <v>4</v>
      </c>
      <c r="I1031" s="29" t="s">
        <v>32</v>
      </c>
      <c r="J1031" s="481">
        <v>8</v>
      </c>
      <c r="K1031" s="41">
        <v>0</v>
      </c>
      <c r="L1031" s="41">
        <v>0</v>
      </c>
      <c r="M1031" s="41"/>
      <c r="N1031" s="109">
        <v>1</v>
      </c>
      <c r="P1031" s="29" t="s">
        <v>32</v>
      </c>
      <c r="Q1031" s="481">
        <v>8</v>
      </c>
      <c r="R1031" s="41">
        <v>0</v>
      </c>
      <c r="S1031" s="41">
        <v>0</v>
      </c>
      <c r="T1031" s="41"/>
      <c r="U1031" s="109">
        <v>0</v>
      </c>
      <c r="W1031" s="29" t="s">
        <v>32</v>
      </c>
      <c r="X1031" s="481">
        <v>8</v>
      </c>
      <c r="Y1031" s="41">
        <v>0</v>
      </c>
      <c r="Z1031" s="41">
        <v>0</v>
      </c>
      <c r="AA1031" s="41"/>
      <c r="AB1031" s="109">
        <v>0</v>
      </c>
      <c r="AD1031" s="29" t="s">
        <v>32</v>
      </c>
      <c r="AE1031" s="481">
        <v>8</v>
      </c>
      <c r="AF1031" s="41">
        <v>0</v>
      </c>
      <c r="AG1031" s="41">
        <v>0</v>
      </c>
      <c r="AH1031" s="41"/>
      <c r="AI1031" s="109">
        <v>0</v>
      </c>
      <c r="AK1031" s="29" t="s">
        <v>32</v>
      </c>
      <c r="AL1031" s="481">
        <v>8</v>
      </c>
      <c r="AM1031" s="41">
        <v>0</v>
      </c>
      <c r="AN1031" s="41">
        <v>0</v>
      </c>
      <c r="AO1031" s="41"/>
      <c r="AP1031" s="109">
        <v>0</v>
      </c>
      <c r="AR1031" s="56" t="s">
        <v>32</v>
      </c>
      <c r="AS1031" s="57">
        <v>0</v>
      </c>
      <c r="AT1031" s="58">
        <v>5</v>
      </c>
      <c r="AU1031" s="50">
        <f>SUM(AS1031,AT1031)</f>
        <v>5</v>
      </c>
      <c r="AV1031" s="59">
        <f>AU1031/AU1032*100</f>
        <v>2.0576131687242798</v>
      </c>
    </row>
    <row r="1032" spans="2:48" x14ac:dyDescent="0.25">
      <c r="B1032" s="42"/>
      <c r="C1032" s="30">
        <v>16</v>
      </c>
      <c r="D1032" s="41">
        <v>0</v>
      </c>
      <c r="E1032" s="41">
        <v>0</v>
      </c>
      <c r="F1032" s="41"/>
      <c r="G1032" s="135"/>
      <c r="I1032" s="42"/>
      <c r="J1032" s="30">
        <v>16</v>
      </c>
      <c r="K1032" s="41">
        <v>0</v>
      </c>
      <c r="L1032" s="41">
        <v>0</v>
      </c>
      <c r="M1032" s="41"/>
      <c r="N1032" s="172"/>
      <c r="P1032" s="42"/>
      <c r="Q1032" s="30">
        <v>16</v>
      </c>
      <c r="R1032" s="41">
        <v>0</v>
      </c>
      <c r="S1032" s="41">
        <v>0</v>
      </c>
      <c r="T1032" s="41"/>
      <c r="U1032" s="172"/>
      <c r="W1032" s="42"/>
      <c r="X1032" s="30">
        <v>16</v>
      </c>
      <c r="Y1032" s="41">
        <v>0</v>
      </c>
      <c r="Z1032" s="41">
        <v>0</v>
      </c>
      <c r="AA1032" s="41"/>
      <c r="AB1032" s="172"/>
      <c r="AD1032" s="42"/>
      <c r="AE1032" s="30">
        <v>16</v>
      </c>
      <c r="AF1032" s="41">
        <v>0</v>
      </c>
      <c r="AG1032" s="41">
        <v>0</v>
      </c>
      <c r="AH1032" s="41"/>
      <c r="AI1032" s="172"/>
      <c r="AK1032" s="42"/>
      <c r="AL1032" s="30">
        <v>16</v>
      </c>
      <c r="AM1032" s="41">
        <v>0</v>
      </c>
      <c r="AN1032" s="41">
        <v>0</v>
      </c>
      <c r="AO1032" s="41"/>
      <c r="AP1032" s="172"/>
      <c r="AR1032" s="56" t="s">
        <v>27</v>
      </c>
      <c r="AS1032" s="64">
        <f>SUM(AS1030,AS1031)</f>
        <v>212</v>
      </c>
      <c r="AT1032" s="50">
        <f>SUM(AT1030,AT1031)</f>
        <v>31</v>
      </c>
      <c r="AU1032" s="50">
        <f>SUM(AS1030:AT1031)</f>
        <v>243</v>
      </c>
      <c r="AV1032" s="59"/>
    </row>
    <row r="1033" spans="2:48" x14ac:dyDescent="0.25">
      <c r="B1033" s="42"/>
      <c r="C1033" s="30">
        <v>32</v>
      </c>
      <c r="D1033" s="41">
        <v>0</v>
      </c>
      <c r="E1033" s="31">
        <v>1</v>
      </c>
      <c r="F1033" s="41" t="s">
        <v>436</v>
      </c>
      <c r="G1033" s="135"/>
      <c r="I1033" s="42"/>
      <c r="J1033" s="30">
        <v>32</v>
      </c>
      <c r="K1033" s="41">
        <v>0</v>
      </c>
      <c r="L1033" s="41">
        <v>0</v>
      </c>
      <c r="M1033" s="41"/>
      <c r="N1033" s="172"/>
      <c r="P1033" s="42"/>
      <c r="Q1033" s="30">
        <v>32</v>
      </c>
      <c r="R1033" s="41">
        <v>0</v>
      </c>
      <c r="S1033" s="41">
        <v>0</v>
      </c>
      <c r="T1033" s="41"/>
      <c r="U1033" s="172"/>
      <c r="W1033" s="42"/>
      <c r="X1033" s="30">
        <v>32</v>
      </c>
      <c r="Y1033" s="41">
        <v>0</v>
      </c>
      <c r="Z1033" s="41">
        <v>0</v>
      </c>
      <c r="AA1033" s="41"/>
      <c r="AB1033" s="172"/>
      <c r="AD1033" s="42"/>
      <c r="AE1033" s="30">
        <v>32</v>
      </c>
      <c r="AF1033" s="41">
        <v>0</v>
      </c>
      <c r="AG1033" s="41">
        <v>0</v>
      </c>
      <c r="AH1033" s="41"/>
      <c r="AI1033" s="172"/>
      <c r="AK1033" s="42"/>
      <c r="AL1033" s="30">
        <v>32</v>
      </c>
      <c r="AM1033" s="41">
        <v>0</v>
      </c>
      <c r="AN1033" s="41">
        <v>0</v>
      </c>
      <c r="AO1033" s="41"/>
      <c r="AP1033" s="172"/>
      <c r="AR1033" s="56" t="s">
        <v>28</v>
      </c>
      <c r="AS1033" s="64">
        <f>AS1032/AU1032*100</f>
        <v>87.242798353909464</v>
      </c>
      <c r="AT1033" s="59">
        <f>AT1032/AU1032*100</f>
        <v>12.757201646090536</v>
      </c>
      <c r="AU1033" s="59"/>
      <c r="AV1033" s="59"/>
    </row>
    <row r="1034" spans="2:48" x14ac:dyDescent="0.25">
      <c r="B1034" s="47"/>
      <c r="C1034" s="30" t="s">
        <v>101</v>
      </c>
      <c r="D1034" s="41">
        <v>0</v>
      </c>
      <c r="E1034" s="31">
        <v>1</v>
      </c>
      <c r="F1034" s="41" t="s">
        <v>418</v>
      </c>
      <c r="G1034" s="121"/>
      <c r="I1034" s="47"/>
      <c r="J1034" s="30" t="s">
        <v>101</v>
      </c>
      <c r="K1034" s="41">
        <v>0</v>
      </c>
      <c r="L1034" s="31">
        <v>1</v>
      </c>
      <c r="M1034" s="41" t="s">
        <v>418</v>
      </c>
      <c r="N1034" s="115"/>
      <c r="P1034" s="47"/>
      <c r="Q1034" s="30" t="s">
        <v>101</v>
      </c>
      <c r="R1034" s="41">
        <v>0</v>
      </c>
      <c r="S1034" s="41">
        <v>0</v>
      </c>
      <c r="T1034" s="41"/>
      <c r="U1034" s="115"/>
      <c r="W1034" s="47"/>
      <c r="X1034" s="30" t="s">
        <v>101</v>
      </c>
      <c r="Y1034" s="41">
        <v>0</v>
      </c>
      <c r="Z1034" s="41">
        <v>0</v>
      </c>
      <c r="AA1034" s="41"/>
      <c r="AB1034" s="115"/>
      <c r="AD1034" s="47"/>
      <c r="AE1034" s="30" t="s">
        <v>101</v>
      </c>
      <c r="AF1034" s="41">
        <v>0</v>
      </c>
      <c r="AG1034" s="41">
        <v>0</v>
      </c>
      <c r="AH1034" s="41"/>
      <c r="AI1034" s="115"/>
      <c r="AK1034" s="47"/>
      <c r="AL1034" s="30" t="s">
        <v>101</v>
      </c>
      <c r="AM1034" s="41">
        <v>0</v>
      </c>
      <c r="AN1034" s="41">
        <v>0</v>
      </c>
      <c r="AO1034" s="41"/>
      <c r="AP1034" s="115"/>
    </row>
    <row r="1035" spans="2:48" ht="15.75" thickBot="1" x14ac:dyDescent="0.3">
      <c r="B1035" s="476"/>
      <c r="C1035" s="477"/>
      <c r="D1035" s="478">
        <v>154</v>
      </c>
      <c r="E1035" s="478">
        <v>17</v>
      </c>
      <c r="F1035" s="478"/>
      <c r="G1035" s="479">
        <v>171</v>
      </c>
      <c r="I1035" s="476"/>
      <c r="J1035" s="477"/>
      <c r="K1035" s="478">
        <v>20</v>
      </c>
      <c r="L1035" s="478">
        <v>14</v>
      </c>
      <c r="M1035" s="478"/>
      <c r="N1035" s="479">
        <v>34</v>
      </c>
      <c r="P1035" s="476"/>
      <c r="Q1035" s="477"/>
      <c r="R1035" s="478">
        <v>10</v>
      </c>
      <c r="S1035" s="478">
        <v>0</v>
      </c>
      <c r="T1035" s="478"/>
      <c r="U1035" s="479">
        <v>10</v>
      </c>
      <c r="W1035" s="476"/>
      <c r="X1035" s="477"/>
      <c r="Y1035" s="478">
        <v>10</v>
      </c>
      <c r="Z1035" s="478">
        <v>0</v>
      </c>
      <c r="AA1035" s="478"/>
      <c r="AB1035" s="479">
        <v>10</v>
      </c>
      <c r="AD1035" s="476"/>
      <c r="AE1035" s="477"/>
      <c r="AF1035" s="478">
        <v>10</v>
      </c>
      <c r="AG1035" s="478">
        <v>0</v>
      </c>
      <c r="AH1035" s="478"/>
      <c r="AI1035" s="479">
        <v>10</v>
      </c>
      <c r="AK1035" s="476"/>
      <c r="AL1035" s="477"/>
      <c r="AM1035" s="478">
        <v>8</v>
      </c>
      <c r="AN1035" s="478">
        <v>0</v>
      </c>
      <c r="AO1035" s="478"/>
      <c r="AP1035" s="479">
        <v>8</v>
      </c>
    </row>
    <row r="1036" spans="2:48" x14ac:dyDescent="0.25">
      <c r="C1036" s="78"/>
      <c r="J1036" s="78"/>
      <c r="Q1036" s="78"/>
      <c r="X1036" s="78"/>
      <c r="AE1036" s="78"/>
      <c r="AL1036" s="78"/>
    </row>
    <row r="1037" spans="2:48" ht="19.5" thickBot="1" x14ac:dyDescent="0.35">
      <c r="B1037" s="9" t="s">
        <v>437</v>
      </c>
      <c r="C1037" s="78"/>
      <c r="D1037" s="12"/>
      <c r="I1037" s="9" t="s">
        <v>437</v>
      </c>
      <c r="J1037" s="78"/>
      <c r="P1037" s="9" t="s">
        <v>437</v>
      </c>
      <c r="Q1037" s="78"/>
      <c r="W1037" s="9" t="s">
        <v>437</v>
      </c>
      <c r="X1037" s="78"/>
      <c r="AD1037" s="9" t="s">
        <v>437</v>
      </c>
      <c r="AE1037" s="78"/>
      <c r="AK1037" s="9" t="s">
        <v>437</v>
      </c>
      <c r="AL1037" s="78"/>
      <c r="AR1037" s="9" t="s">
        <v>438</v>
      </c>
    </row>
    <row r="1038" spans="2:48" ht="30" x14ac:dyDescent="0.25">
      <c r="B1038" s="20" t="s">
        <v>22</v>
      </c>
      <c r="C1038" s="21" t="s">
        <v>23</v>
      </c>
      <c r="D1038" s="21" t="s">
        <v>24</v>
      </c>
      <c r="E1038" s="21" t="s">
        <v>25</v>
      </c>
      <c r="F1038" s="22" t="s">
        <v>26</v>
      </c>
      <c r="G1038" s="23" t="s">
        <v>27</v>
      </c>
      <c r="I1038" s="20" t="s">
        <v>22</v>
      </c>
      <c r="J1038" s="21" t="s">
        <v>23</v>
      </c>
      <c r="K1038" s="21" t="s">
        <v>24</v>
      </c>
      <c r="L1038" s="21" t="s">
        <v>25</v>
      </c>
      <c r="M1038" s="22" t="s">
        <v>26</v>
      </c>
      <c r="N1038" s="23" t="s">
        <v>27</v>
      </c>
      <c r="P1038" s="20" t="s">
        <v>22</v>
      </c>
      <c r="Q1038" s="21" t="s">
        <v>23</v>
      </c>
      <c r="R1038" s="21" t="s">
        <v>24</v>
      </c>
      <c r="S1038" s="21" t="s">
        <v>25</v>
      </c>
      <c r="T1038" s="22" t="s">
        <v>26</v>
      </c>
      <c r="U1038" s="23" t="s">
        <v>27</v>
      </c>
      <c r="W1038" s="20" t="s">
        <v>22</v>
      </c>
      <c r="X1038" s="21" t="s">
        <v>23</v>
      </c>
      <c r="Y1038" s="21" t="s">
        <v>24</v>
      </c>
      <c r="Z1038" s="21" t="s">
        <v>25</v>
      </c>
      <c r="AA1038" s="22" t="s">
        <v>26</v>
      </c>
      <c r="AB1038" s="23" t="s">
        <v>27</v>
      </c>
      <c r="AD1038" s="20" t="s">
        <v>22</v>
      </c>
      <c r="AE1038" s="21" t="s">
        <v>23</v>
      </c>
      <c r="AF1038" s="21" t="s">
        <v>24</v>
      </c>
      <c r="AG1038" s="21" t="s">
        <v>25</v>
      </c>
      <c r="AH1038" s="22" t="s">
        <v>26</v>
      </c>
      <c r="AI1038" s="23" t="s">
        <v>27</v>
      </c>
      <c r="AK1038" s="20" t="s">
        <v>22</v>
      </c>
      <c r="AL1038" s="21" t="s">
        <v>23</v>
      </c>
      <c r="AM1038" s="21" t="s">
        <v>24</v>
      </c>
      <c r="AN1038" s="21" t="s">
        <v>25</v>
      </c>
      <c r="AO1038" s="22" t="s">
        <v>26</v>
      </c>
      <c r="AP1038" s="23" t="s">
        <v>27</v>
      </c>
      <c r="AR1038" s="25"/>
      <c r="AS1038" s="26" t="s">
        <v>24</v>
      </c>
      <c r="AT1038" s="27" t="s">
        <v>25</v>
      </c>
      <c r="AU1038" s="27" t="s">
        <v>27</v>
      </c>
      <c r="AV1038" s="28" t="s">
        <v>28</v>
      </c>
    </row>
    <row r="1039" spans="2:48" x14ac:dyDescent="0.25">
      <c r="B1039" s="60" t="s">
        <v>432</v>
      </c>
      <c r="C1039" s="48" t="s">
        <v>389</v>
      </c>
      <c r="D1039" s="58">
        <v>155</v>
      </c>
      <c r="E1039" s="132">
        <v>7</v>
      </c>
      <c r="F1039" s="114" t="s">
        <v>439</v>
      </c>
      <c r="G1039" s="118">
        <v>162</v>
      </c>
      <c r="I1039" s="60" t="s">
        <v>432</v>
      </c>
      <c r="J1039" s="48" t="s">
        <v>389</v>
      </c>
      <c r="K1039" s="58">
        <v>19</v>
      </c>
      <c r="L1039" s="132">
        <v>12</v>
      </c>
      <c r="M1039" s="114" t="s">
        <v>440</v>
      </c>
      <c r="N1039" s="118">
        <v>31</v>
      </c>
      <c r="P1039" s="60" t="s">
        <v>432</v>
      </c>
      <c r="Q1039" s="48" t="s">
        <v>389</v>
      </c>
      <c r="R1039" s="58">
        <v>8</v>
      </c>
      <c r="S1039" s="59">
        <v>0</v>
      </c>
      <c r="T1039" s="59"/>
      <c r="U1039" s="118">
        <v>8</v>
      </c>
      <c r="W1039" s="60" t="s">
        <v>432</v>
      </c>
      <c r="X1039" s="48" t="s">
        <v>389</v>
      </c>
      <c r="Y1039" s="58">
        <v>8</v>
      </c>
      <c r="Z1039" s="59">
        <v>0</v>
      </c>
      <c r="AA1039" s="59"/>
      <c r="AB1039" s="118">
        <v>8</v>
      </c>
      <c r="AD1039" s="60" t="s">
        <v>432</v>
      </c>
      <c r="AE1039" s="48" t="s">
        <v>389</v>
      </c>
      <c r="AF1039" s="58">
        <v>10</v>
      </c>
      <c r="AG1039" s="59">
        <v>0</v>
      </c>
      <c r="AH1039" s="59"/>
      <c r="AI1039" s="118">
        <v>10</v>
      </c>
      <c r="AK1039" s="60" t="s">
        <v>432</v>
      </c>
      <c r="AL1039" s="48" t="s">
        <v>389</v>
      </c>
      <c r="AM1039" s="58">
        <v>8</v>
      </c>
      <c r="AN1039" s="59">
        <v>0</v>
      </c>
      <c r="AO1039" s="59"/>
      <c r="AP1039" s="118">
        <v>8</v>
      </c>
      <c r="AR1039" s="38" t="s">
        <v>403</v>
      </c>
      <c r="AS1039" s="39">
        <v>208</v>
      </c>
      <c r="AT1039" s="40">
        <v>19</v>
      </c>
      <c r="AU1039" s="32">
        <f>SUM(AS1039,AT1039)</f>
        <v>227</v>
      </c>
      <c r="AV1039" s="41">
        <f>AU1039/AU1041*100</f>
        <v>93.415637860082299</v>
      </c>
    </row>
    <row r="1040" spans="2:48" x14ac:dyDescent="0.25">
      <c r="B1040" s="29" t="s">
        <v>32</v>
      </c>
      <c r="C1040" s="481">
        <v>8</v>
      </c>
      <c r="D1040" s="40">
        <v>2</v>
      </c>
      <c r="E1040" s="31">
        <v>1</v>
      </c>
      <c r="F1040" s="41" t="s">
        <v>418</v>
      </c>
      <c r="G1040" s="120">
        <v>9</v>
      </c>
      <c r="I1040" s="29" t="s">
        <v>32</v>
      </c>
      <c r="J1040" s="481">
        <v>8</v>
      </c>
      <c r="K1040" s="41">
        <v>0</v>
      </c>
      <c r="L1040" s="41">
        <v>0</v>
      </c>
      <c r="M1040" s="41"/>
      <c r="N1040" s="109">
        <v>3</v>
      </c>
      <c r="P1040" s="29" t="s">
        <v>32</v>
      </c>
      <c r="Q1040" s="481">
        <v>8</v>
      </c>
      <c r="R1040" s="41">
        <v>0</v>
      </c>
      <c r="S1040" s="41">
        <v>0</v>
      </c>
      <c r="T1040" s="41"/>
      <c r="U1040" s="109">
        <v>2</v>
      </c>
      <c r="W1040" s="29" t="s">
        <v>32</v>
      </c>
      <c r="X1040" s="481">
        <v>8</v>
      </c>
      <c r="Y1040" s="40">
        <v>1</v>
      </c>
      <c r="Z1040" s="41">
        <v>0</v>
      </c>
      <c r="AA1040" s="41"/>
      <c r="AB1040" s="109">
        <v>2</v>
      </c>
      <c r="AD1040" s="29" t="s">
        <v>32</v>
      </c>
      <c r="AE1040" s="481">
        <v>8</v>
      </c>
      <c r="AF1040" s="41">
        <v>0</v>
      </c>
      <c r="AG1040" s="41">
        <v>0</v>
      </c>
      <c r="AH1040" s="41"/>
      <c r="AI1040" s="109">
        <v>0</v>
      </c>
      <c r="AK1040" s="29" t="s">
        <v>32</v>
      </c>
      <c r="AL1040" s="481">
        <v>8</v>
      </c>
      <c r="AM1040" s="41">
        <v>0</v>
      </c>
      <c r="AN1040" s="41">
        <v>0</v>
      </c>
      <c r="AO1040" s="41"/>
      <c r="AP1040" s="109">
        <v>0</v>
      </c>
      <c r="AR1040" s="56" t="s">
        <v>32</v>
      </c>
      <c r="AS1040" s="57">
        <v>7</v>
      </c>
      <c r="AT1040" s="58">
        <v>9</v>
      </c>
      <c r="AU1040" s="50">
        <f>SUM(AS1040,AT1040)</f>
        <v>16</v>
      </c>
      <c r="AV1040" s="59">
        <f>AU1040/AU1041*100</f>
        <v>6.5843621399176957</v>
      </c>
    </row>
    <row r="1041" spans="2:48" x14ac:dyDescent="0.25">
      <c r="B1041" s="42"/>
      <c r="C1041" s="30">
        <v>16</v>
      </c>
      <c r="D1041" s="41"/>
      <c r="E1041" s="31">
        <v>3</v>
      </c>
      <c r="F1041" s="41" t="s">
        <v>441</v>
      </c>
      <c r="G1041" s="135"/>
      <c r="I1041" s="42"/>
      <c r="J1041" s="30">
        <v>16</v>
      </c>
      <c r="K1041" s="41">
        <v>0</v>
      </c>
      <c r="L1041" s="41">
        <v>0</v>
      </c>
      <c r="M1041" s="41"/>
      <c r="N1041" s="172"/>
      <c r="P1041" s="42"/>
      <c r="Q1041" s="30">
        <v>16</v>
      </c>
      <c r="R1041" s="41">
        <v>0</v>
      </c>
      <c r="S1041" s="41">
        <v>0</v>
      </c>
      <c r="T1041" s="41"/>
      <c r="U1041" s="172"/>
      <c r="W1041" s="42"/>
      <c r="X1041" s="30">
        <v>16</v>
      </c>
      <c r="Y1041" s="40">
        <v>1</v>
      </c>
      <c r="Z1041" s="41">
        <v>0</v>
      </c>
      <c r="AA1041" s="41"/>
      <c r="AB1041" s="172"/>
      <c r="AD1041" s="42"/>
      <c r="AE1041" s="30">
        <v>16</v>
      </c>
      <c r="AF1041" s="41">
        <v>0</v>
      </c>
      <c r="AG1041" s="41">
        <v>0</v>
      </c>
      <c r="AH1041" s="41"/>
      <c r="AI1041" s="172"/>
      <c r="AK1041" s="42"/>
      <c r="AL1041" s="30">
        <v>16</v>
      </c>
      <c r="AM1041" s="41">
        <v>0</v>
      </c>
      <c r="AN1041" s="41">
        <v>0</v>
      </c>
      <c r="AO1041" s="41"/>
      <c r="AP1041" s="172"/>
      <c r="AR1041" s="56" t="s">
        <v>27</v>
      </c>
      <c r="AS1041" s="64">
        <f>SUM(AS1039,AS1040)</f>
        <v>215</v>
      </c>
      <c r="AT1041" s="50">
        <f>SUM(AT1039,AT1040)</f>
        <v>28</v>
      </c>
      <c r="AU1041" s="50">
        <f>SUM(AS1039:AT1040)</f>
        <v>243</v>
      </c>
      <c r="AV1041" s="59"/>
    </row>
    <row r="1042" spans="2:48" x14ac:dyDescent="0.25">
      <c r="B1042" s="42"/>
      <c r="C1042" s="30">
        <v>32</v>
      </c>
      <c r="D1042" s="41"/>
      <c r="E1042" s="31">
        <v>1</v>
      </c>
      <c r="F1042" s="41" t="s">
        <v>418</v>
      </c>
      <c r="G1042" s="135"/>
      <c r="I1042" s="42"/>
      <c r="J1042" s="30">
        <v>32</v>
      </c>
      <c r="K1042" s="40">
        <v>1</v>
      </c>
      <c r="L1042" s="31">
        <v>1</v>
      </c>
      <c r="M1042" s="41" t="s">
        <v>418</v>
      </c>
      <c r="N1042" s="172"/>
      <c r="P1042" s="42"/>
      <c r="Q1042" s="30">
        <v>32</v>
      </c>
      <c r="R1042" s="41">
        <v>0</v>
      </c>
      <c r="S1042" s="41">
        <v>0</v>
      </c>
      <c r="T1042" s="41"/>
      <c r="U1042" s="172"/>
      <c r="W1042" s="42"/>
      <c r="X1042" s="30">
        <v>32</v>
      </c>
      <c r="Y1042" s="41">
        <v>0</v>
      </c>
      <c r="Z1042" s="41">
        <v>0</v>
      </c>
      <c r="AA1042" s="41"/>
      <c r="AB1042" s="172"/>
      <c r="AD1042" s="42"/>
      <c r="AE1042" s="30">
        <v>32</v>
      </c>
      <c r="AF1042" s="41">
        <v>0</v>
      </c>
      <c r="AG1042" s="41">
        <v>0</v>
      </c>
      <c r="AH1042" s="41"/>
      <c r="AI1042" s="172"/>
      <c r="AK1042" s="42"/>
      <c r="AL1042" s="30">
        <v>32</v>
      </c>
      <c r="AM1042" s="41">
        <v>0</v>
      </c>
      <c r="AN1042" s="41">
        <v>0</v>
      </c>
      <c r="AO1042" s="41"/>
      <c r="AP1042" s="172"/>
      <c r="AR1042" s="56" t="s">
        <v>28</v>
      </c>
      <c r="AS1042" s="64">
        <f>AS1041/AU1041*100</f>
        <v>88.477366255144034</v>
      </c>
      <c r="AT1042" s="59">
        <f>AT1041/AU1041*100</f>
        <v>11.522633744855968</v>
      </c>
      <c r="AU1042" s="59"/>
      <c r="AV1042" s="59"/>
    </row>
    <row r="1043" spans="2:48" x14ac:dyDescent="0.25">
      <c r="B1043" s="47"/>
      <c r="C1043" s="30" t="s">
        <v>101</v>
      </c>
      <c r="D1043" s="41"/>
      <c r="E1043" s="31">
        <v>2</v>
      </c>
      <c r="F1043" s="41" t="s">
        <v>422</v>
      </c>
      <c r="G1043" s="121"/>
      <c r="I1043" s="47"/>
      <c r="J1043" s="30" t="s">
        <v>101</v>
      </c>
      <c r="K1043" s="41">
        <v>0</v>
      </c>
      <c r="L1043" s="31">
        <v>1</v>
      </c>
      <c r="M1043" s="41" t="s">
        <v>418</v>
      </c>
      <c r="N1043" s="115"/>
      <c r="P1043" s="47"/>
      <c r="Q1043" s="30" t="s">
        <v>101</v>
      </c>
      <c r="R1043" s="40">
        <v>2</v>
      </c>
      <c r="S1043" s="41">
        <v>0</v>
      </c>
      <c r="T1043" s="41"/>
      <c r="U1043" s="115"/>
      <c r="W1043" s="47"/>
      <c r="X1043" s="30" t="s">
        <v>101</v>
      </c>
      <c r="Y1043" s="41">
        <v>0</v>
      </c>
      <c r="Z1043" s="41">
        <v>0</v>
      </c>
      <c r="AA1043" s="41"/>
      <c r="AB1043" s="115"/>
      <c r="AD1043" s="47"/>
      <c r="AE1043" s="30" t="s">
        <v>101</v>
      </c>
      <c r="AF1043" s="41">
        <v>0</v>
      </c>
      <c r="AG1043" s="41">
        <v>0</v>
      </c>
      <c r="AH1043" s="41"/>
      <c r="AI1043" s="115"/>
      <c r="AK1043" s="47"/>
      <c r="AL1043" s="30" t="s">
        <v>101</v>
      </c>
      <c r="AM1043" s="41">
        <v>0</v>
      </c>
      <c r="AN1043" s="41">
        <v>0</v>
      </c>
      <c r="AO1043" s="41"/>
      <c r="AP1043" s="115"/>
    </row>
    <row r="1044" spans="2:48" ht="15.75" thickBot="1" x14ac:dyDescent="0.3">
      <c r="B1044" s="476"/>
      <c r="C1044" s="477"/>
      <c r="D1044" s="478">
        <v>157</v>
      </c>
      <c r="E1044" s="478">
        <v>14</v>
      </c>
      <c r="F1044" s="478"/>
      <c r="G1044" s="479">
        <v>171</v>
      </c>
      <c r="I1044" s="476"/>
      <c r="J1044" s="477"/>
      <c r="K1044" s="478">
        <v>20</v>
      </c>
      <c r="L1044" s="478">
        <v>14</v>
      </c>
      <c r="M1044" s="478"/>
      <c r="N1044" s="479">
        <v>34</v>
      </c>
      <c r="P1044" s="476"/>
      <c r="Q1044" s="477"/>
      <c r="R1044" s="478">
        <v>0</v>
      </c>
      <c r="S1044" s="478">
        <v>0</v>
      </c>
      <c r="T1044" s="478"/>
      <c r="U1044" s="479">
        <v>10</v>
      </c>
      <c r="W1044" s="476"/>
      <c r="X1044" s="477"/>
      <c r="Y1044" s="478">
        <v>10</v>
      </c>
      <c r="Z1044" s="478">
        <v>0</v>
      </c>
      <c r="AA1044" s="478"/>
      <c r="AB1044" s="479">
        <v>10</v>
      </c>
      <c r="AD1044" s="476"/>
      <c r="AE1044" s="477"/>
      <c r="AF1044" s="478">
        <v>10</v>
      </c>
      <c r="AG1044" s="478">
        <v>0</v>
      </c>
      <c r="AH1044" s="478"/>
      <c r="AI1044" s="479">
        <v>10</v>
      </c>
      <c r="AK1044" s="476"/>
      <c r="AL1044" s="477"/>
      <c r="AM1044" s="478">
        <v>8</v>
      </c>
      <c r="AN1044" s="478">
        <v>0</v>
      </c>
      <c r="AO1044" s="478"/>
      <c r="AP1044" s="479">
        <v>8</v>
      </c>
    </row>
    <row r="1045" spans="2:48" x14ac:dyDescent="0.25">
      <c r="C1045" s="78"/>
      <c r="J1045" s="78"/>
      <c r="Q1045" s="78"/>
      <c r="X1045" s="78"/>
      <c r="AE1045" s="78"/>
      <c r="AL1045" s="78"/>
    </row>
    <row r="1046" spans="2:48" ht="19.5" thickBot="1" x14ac:dyDescent="0.35">
      <c r="B1046" s="9" t="s">
        <v>442</v>
      </c>
      <c r="C1046" s="204" t="s">
        <v>187</v>
      </c>
      <c r="D1046" s="12"/>
      <c r="I1046" s="9" t="s">
        <v>442</v>
      </c>
      <c r="J1046" s="204" t="s">
        <v>187</v>
      </c>
      <c r="P1046" s="9" t="s">
        <v>442</v>
      </c>
      <c r="Q1046" s="204" t="s">
        <v>187</v>
      </c>
      <c r="W1046" s="9" t="s">
        <v>442</v>
      </c>
      <c r="X1046" s="204" t="s">
        <v>187</v>
      </c>
      <c r="AD1046" s="9" t="s">
        <v>442</v>
      </c>
      <c r="AE1046" s="204" t="s">
        <v>187</v>
      </c>
      <c r="AK1046" s="9" t="s">
        <v>442</v>
      </c>
      <c r="AL1046" s="204" t="s">
        <v>187</v>
      </c>
      <c r="AR1046" s="9" t="s">
        <v>443</v>
      </c>
    </row>
    <row r="1047" spans="2:48" ht="30" x14ac:dyDescent="0.25">
      <c r="B1047" s="20" t="s">
        <v>22</v>
      </c>
      <c r="C1047" s="21" t="s">
        <v>23</v>
      </c>
      <c r="D1047" s="21" t="s">
        <v>24</v>
      </c>
      <c r="E1047" s="21" t="s">
        <v>25</v>
      </c>
      <c r="F1047" s="22" t="s">
        <v>26</v>
      </c>
      <c r="G1047" s="23" t="s">
        <v>27</v>
      </c>
      <c r="I1047" s="20" t="s">
        <v>22</v>
      </c>
      <c r="J1047" s="21" t="s">
        <v>23</v>
      </c>
      <c r="K1047" s="21" t="s">
        <v>24</v>
      </c>
      <c r="L1047" s="21" t="s">
        <v>25</v>
      </c>
      <c r="M1047" s="22" t="s">
        <v>26</v>
      </c>
      <c r="N1047" s="23" t="s">
        <v>27</v>
      </c>
      <c r="P1047" s="20" t="s">
        <v>22</v>
      </c>
      <c r="Q1047" s="21" t="s">
        <v>23</v>
      </c>
      <c r="R1047" s="21" t="s">
        <v>24</v>
      </c>
      <c r="S1047" s="21" t="s">
        <v>25</v>
      </c>
      <c r="T1047" s="22" t="s">
        <v>26</v>
      </c>
      <c r="U1047" s="23" t="s">
        <v>27</v>
      </c>
      <c r="W1047" s="20" t="s">
        <v>22</v>
      </c>
      <c r="X1047" s="21" t="s">
        <v>23</v>
      </c>
      <c r="Y1047" s="21" t="s">
        <v>24</v>
      </c>
      <c r="Z1047" s="21" t="s">
        <v>25</v>
      </c>
      <c r="AA1047" s="22" t="s">
        <v>26</v>
      </c>
      <c r="AB1047" s="23" t="s">
        <v>27</v>
      </c>
      <c r="AD1047" s="20" t="s">
        <v>22</v>
      </c>
      <c r="AE1047" s="21" t="s">
        <v>23</v>
      </c>
      <c r="AF1047" s="21" t="s">
        <v>24</v>
      </c>
      <c r="AG1047" s="21" t="s">
        <v>25</v>
      </c>
      <c r="AH1047" s="22" t="s">
        <v>26</v>
      </c>
      <c r="AI1047" s="23" t="s">
        <v>27</v>
      </c>
      <c r="AK1047" s="20" t="s">
        <v>22</v>
      </c>
      <c r="AL1047" s="21" t="s">
        <v>23</v>
      </c>
      <c r="AM1047" s="21" t="s">
        <v>24</v>
      </c>
      <c r="AN1047" s="21" t="s">
        <v>25</v>
      </c>
      <c r="AO1047" s="22" t="s">
        <v>26</v>
      </c>
      <c r="AP1047" s="23" t="s">
        <v>27</v>
      </c>
      <c r="AR1047" s="25"/>
      <c r="AS1047" s="26" t="s">
        <v>24</v>
      </c>
      <c r="AT1047" s="27" t="s">
        <v>25</v>
      </c>
      <c r="AU1047" s="27" t="s">
        <v>27</v>
      </c>
      <c r="AV1047" s="28" t="s">
        <v>28</v>
      </c>
    </row>
    <row r="1048" spans="2:48" x14ac:dyDescent="0.25">
      <c r="B1048" s="29" t="s">
        <v>29</v>
      </c>
      <c r="C1048" s="30" t="s">
        <v>82</v>
      </c>
      <c r="D1048" s="31">
        <v>171</v>
      </c>
      <c r="E1048" s="41">
        <v>0</v>
      </c>
      <c r="F1048" s="41"/>
      <c r="G1048" s="109">
        <v>171</v>
      </c>
      <c r="I1048" s="29" t="s">
        <v>29</v>
      </c>
      <c r="J1048" s="30" t="s">
        <v>82</v>
      </c>
      <c r="K1048" s="31">
        <v>34</v>
      </c>
      <c r="L1048" s="41">
        <v>0</v>
      </c>
      <c r="M1048" s="41"/>
      <c r="N1048" s="109">
        <v>34</v>
      </c>
      <c r="P1048" s="29" t="s">
        <v>29</v>
      </c>
      <c r="Q1048" s="30" t="s">
        <v>82</v>
      </c>
      <c r="R1048" s="31">
        <v>10</v>
      </c>
      <c r="S1048" s="41">
        <v>0</v>
      </c>
      <c r="T1048" s="41"/>
      <c r="U1048" s="109">
        <v>10</v>
      </c>
      <c r="W1048" s="29" t="s">
        <v>29</v>
      </c>
      <c r="X1048" s="30" t="s">
        <v>82</v>
      </c>
      <c r="Y1048" s="31">
        <v>10</v>
      </c>
      <c r="Z1048" s="41">
        <v>0</v>
      </c>
      <c r="AA1048" s="41"/>
      <c r="AB1048" s="109">
        <v>10</v>
      </c>
      <c r="AD1048" s="29" t="s">
        <v>29</v>
      </c>
      <c r="AE1048" s="30" t="s">
        <v>82</v>
      </c>
      <c r="AF1048" s="31">
        <v>9</v>
      </c>
      <c r="AG1048" s="41">
        <v>0</v>
      </c>
      <c r="AH1048" s="41"/>
      <c r="AI1048" s="109">
        <v>9</v>
      </c>
      <c r="AK1048" s="29" t="s">
        <v>29</v>
      </c>
      <c r="AL1048" s="30" t="s">
        <v>82</v>
      </c>
      <c r="AM1048" s="31">
        <v>8</v>
      </c>
      <c r="AN1048" s="41">
        <v>0</v>
      </c>
      <c r="AO1048" s="41"/>
      <c r="AP1048" s="109">
        <v>8</v>
      </c>
      <c r="AR1048" s="38" t="s">
        <v>29</v>
      </c>
      <c r="AS1048" s="39">
        <v>242</v>
      </c>
      <c r="AT1048" s="40">
        <v>0</v>
      </c>
      <c r="AU1048" s="32">
        <f>SUM(AS1048,AT1048)</f>
        <v>242</v>
      </c>
      <c r="AV1048" s="41">
        <f>AU1048/AU1051*100</f>
        <v>99.588477366255148</v>
      </c>
    </row>
    <row r="1049" spans="2:48" x14ac:dyDescent="0.25">
      <c r="B1049" s="47"/>
      <c r="C1049" s="112">
        <v>2</v>
      </c>
      <c r="D1049" s="59">
        <v>0</v>
      </c>
      <c r="E1049" s="59">
        <v>0</v>
      </c>
      <c r="F1049" s="59"/>
      <c r="G1049" s="115"/>
      <c r="I1049" s="47"/>
      <c r="J1049" s="112">
        <v>2</v>
      </c>
      <c r="K1049" s="59">
        <v>0</v>
      </c>
      <c r="L1049" s="59">
        <v>0</v>
      </c>
      <c r="M1049" s="59"/>
      <c r="N1049" s="115"/>
      <c r="P1049" s="47"/>
      <c r="Q1049" s="112">
        <v>2</v>
      </c>
      <c r="R1049" s="59">
        <v>0</v>
      </c>
      <c r="S1049" s="59">
        <v>0</v>
      </c>
      <c r="T1049" s="59"/>
      <c r="U1049" s="115"/>
      <c r="W1049" s="47"/>
      <c r="X1049" s="112">
        <v>2</v>
      </c>
      <c r="Y1049" s="59">
        <v>0</v>
      </c>
      <c r="Z1049" s="59">
        <v>0</v>
      </c>
      <c r="AA1049" s="59"/>
      <c r="AB1049" s="115"/>
      <c r="AD1049" s="47"/>
      <c r="AE1049" s="112">
        <v>2</v>
      </c>
      <c r="AF1049" s="59">
        <v>0</v>
      </c>
      <c r="AG1049" s="59">
        <v>0</v>
      </c>
      <c r="AH1049" s="59"/>
      <c r="AI1049" s="115"/>
      <c r="AK1049" s="47"/>
      <c r="AL1049" s="112">
        <v>2</v>
      </c>
      <c r="AM1049" s="59">
        <v>0</v>
      </c>
      <c r="AN1049" s="59">
        <v>0</v>
      </c>
      <c r="AO1049" s="59"/>
      <c r="AP1049" s="115"/>
      <c r="AR1049" s="38" t="s">
        <v>31</v>
      </c>
      <c r="AS1049" s="2">
        <v>1</v>
      </c>
      <c r="AT1049" s="40">
        <v>0</v>
      </c>
      <c r="AU1049" s="32">
        <f>SUM(AS1049,AT1049)</f>
        <v>1</v>
      </c>
      <c r="AV1049" s="41">
        <f>AU1049/AU1051*100</f>
        <v>0.41152263374485598</v>
      </c>
    </row>
    <row r="1050" spans="2:48" x14ac:dyDescent="0.25">
      <c r="B1050" s="29" t="s">
        <v>31</v>
      </c>
      <c r="C1050" s="30">
        <v>4</v>
      </c>
      <c r="D1050" s="41">
        <v>0</v>
      </c>
      <c r="E1050" s="41">
        <v>0</v>
      </c>
      <c r="F1050" s="41"/>
      <c r="G1050" s="109">
        <v>0</v>
      </c>
      <c r="I1050" s="29" t="s">
        <v>31</v>
      </c>
      <c r="J1050" s="30">
        <v>4</v>
      </c>
      <c r="K1050" s="41">
        <v>0</v>
      </c>
      <c r="L1050" s="41">
        <v>0</v>
      </c>
      <c r="M1050" s="41"/>
      <c r="N1050" s="109">
        <v>0</v>
      </c>
      <c r="P1050" s="29" t="s">
        <v>31</v>
      </c>
      <c r="Q1050" s="30">
        <v>4</v>
      </c>
      <c r="R1050" s="41">
        <v>0</v>
      </c>
      <c r="S1050" s="41">
        <v>0</v>
      </c>
      <c r="T1050" s="41"/>
      <c r="U1050" s="109">
        <v>0</v>
      </c>
      <c r="W1050" s="29" t="s">
        <v>31</v>
      </c>
      <c r="X1050" s="30">
        <v>4</v>
      </c>
      <c r="Y1050" s="41">
        <v>0</v>
      </c>
      <c r="Z1050" s="41">
        <v>0</v>
      </c>
      <c r="AA1050" s="41"/>
      <c r="AB1050" s="109">
        <v>0</v>
      </c>
      <c r="AD1050" s="29" t="s">
        <v>31</v>
      </c>
      <c r="AE1050" s="30">
        <v>4</v>
      </c>
      <c r="AF1050" s="31">
        <v>1</v>
      </c>
      <c r="AG1050" s="41">
        <v>0</v>
      </c>
      <c r="AH1050" s="41"/>
      <c r="AI1050" s="109">
        <v>1</v>
      </c>
      <c r="AK1050" s="29" t="s">
        <v>31</v>
      </c>
      <c r="AL1050" s="30">
        <v>4</v>
      </c>
      <c r="AM1050" s="41">
        <v>0</v>
      </c>
      <c r="AN1050" s="41">
        <v>0</v>
      </c>
      <c r="AO1050" s="41"/>
      <c r="AP1050" s="109">
        <v>0</v>
      </c>
      <c r="AR1050" s="56" t="s">
        <v>32</v>
      </c>
      <c r="AS1050" s="57">
        <v>0</v>
      </c>
      <c r="AT1050" s="58">
        <v>0</v>
      </c>
      <c r="AU1050" s="50">
        <f>SUM(AS1050,AT1050)</f>
        <v>0</v>
      </c>
      <c r="AV1050" s="59">
        <f>AU1050/AU1051*100</f>
        <v>0</v>
      </c>
    </row>
    <row r="1051" spans="2:48" x14ac:dyDescent="0.25">
      <c r="B1051" s="47"/>
      <c r="C1051" s="48">
        <v>8</v>
      </c>
      <c r="D1051" s="59">
        <v>0</v>
      </c>
      <c r="E1051" s="59">
        <v>0</v>
      </c>
      <c r="F1051" s="59"/>
      <c r="G1051" s="115"/>
      <c r="I1051" s="47"/>
      <c r="J1051" s="48">
        <v>8</v>
      </c>
      <c r="K1051" s="59">
        <v>0</v>
      </c>
      <c r="L1051" s="59">
        <v>0</v>
      </c>
      <c r="M1051" s="59"/>
      <c r="N1051" s="115"/>
      <c r="P1051" s="47"/>
      <c r="Q1051" s="48">
        <v>8</v>
      </c>
      <c r="R1051" s="59">
        <v>0</v>
      </c>
      <c r="S1051" s="59">
        <v>0</v>
      </c>
      <c r="T1051" s="59"/>
      <c r="U1051" s="115"/>
      <c r="W1051" s="47"/>
      <c r="X1051" s="48">
        <v>8</v>
      </c>
      <c r="Y1051" s="59">
        <v>0</v>
      </c>
      <c r="Z1051" s="59">
        <v>0</v>
      </c>
      <c r="AA1051" s="59"/>
      <c r="AB1051" s="115"/>
      <c r="AD1051" s="47"/>
      <c r="AE1051" s="48">
        <v>8</v>
      </c>
      <c r="AF1051" s="59">
        <v>0</v>
      </c>
      <c r="AG1051" s="59">
        <v>0</v>
      </c>
      <c r="AH1051" s="59"/>
      <c r="AI1051" s="115"/>
      <c r="AK1051" s="47"/>
      <c r="AL1051" s="48">
        <v>8</v>
      </c>
      <c r="AM1051" s="59">
        <v>0</v>
      </c>
      <c r="AN1051" s="59">
        <v>0</v>
      </c>
      <c r="AO1051" s="59"/>
      <c r="AP1051" s="115"/>
      <c r="AR1051" s="56" t="s">
        <v>27</v>
      </c>
      <c r="AS1051" s="64">
        <f>SUM(AS1048:AS1050)</f>
        <v>243</v>
      </c>
      <c r="AT1051" s="59">
        <f>SUM(AT1048:AT1050)</f>
        <v>0</v>
      </c>
      <c r="AU1051" s="59">
        <f>SUM(AU1048:AU1050)</f>
        <v>243</v>
      </c>
      <c r="AV1051" s="59"/>
    </row>
    <row r="1052" spans="2:48" x14ac:dyDescent="0.25">
      <c r="B1052" s="504" t="s">
        <v>32</v>
      </c>
      <c r="C1052" s="30" t="s">
        <v>87</v>
      </c>
      <c r="D1052" s="41">
        <v>0</v>
      </c>
      <c r="E1052" s="41">
        <v>0</v>
      </c>
      <c r="F1052" s="41"/>
      <c r="G1052" s="505">
        <v>0</v>
      </c>
      <c r="I1052" s="504" t="s">
        <v>32</v>
      </c>
      <c r="J1052" s="30" t="s">
        <v>87</v>
      </c>
      <c r="K1052" s="41">
        <v>0</v>
      </c>
      <c r="L1052" s="41">
        <v>0</v>
      </c>
      <c r="M1052" s="41"/>
      <c r="N1052" s="505">
        <v>0</v>
      </c>
      <c r="P1052" s="504" t="s">
        <v>32</v>
      </c>
      <c r="Q1052" s="30" t="s">
        <v>87</v>
      </c>
      <c r="R1052" s="41">
        <v>0</v>
      </c>
      <c r="S1052" s="41">
        <v>0</v>
      </c>
      <c r="T1052" s="41"/>
      <c r="U1052" s="505">
        <v>0</v>
      </c>
      <c r="W1052" s="504" t="s">
        <v>32</v>
      </c>
      <c r="X1052" s="30" t="s">
        <v>87</v>
      </c>
      <c r="Y1052" s="41">
        <v>0</v>
      </c>
      <c r="Z1052" s="41">
        <v>0</v>
      </c>
      <c r="AA1052" s="41"/>
      <c r="AB1052" s="505">
        <v>0</v>
      </c>
      <c r="AD1052" s="504" t="s">
        <v>32</v>
      </c>
      <c r="AE1052" s="30" t="s">
        <v>87</v>
      </c>
      <c r="AF1052" s="41">
        <v>0</v>
      </c>
      <c r="AG1052" s="41">
        <v>0</v>
      </c>
      <c r="AH1052" s="41"/>
      <c r="AI1052" s="505">
        <v>0</v>
      </c>
      <c r="AK1052" s="504" t="s">
        <v>32</v>
      </c>
      <c r="AL1052" s="30" t="s">
        <v>87</v>
      </c>
      <c r="AM1052" s="41">
        <v>0</v>
      </c>
      <c r="AN1052" s="41">
        <v>0</v>
      </c>
      <c r="AO1052" s="41"/>
      <c r="AP1052" s="505">
        <v>0</v>
      </c>
      <c r="AR1052" s="56" t="s">
        <v>28</v>
      </c>
      <c r="AS1052" s="64">
        <f>AS1051/AU1051*100</f>
        <v>100</v>
      </c>
      <c r="AT1052" s="59">
        <f>AT1051/AU1051*100</f>
        <v>0</v>
      </c>
      <c r="AU1052" s="59"/>
      <c r="AV1052" s="59"/>
    </row>
    <row r="1053" spans="2:48" ht="15.75" thickBot="1" x14ac:dyDescent="0.3">
      <c r="B1053" s="476"/>
      <c r="C1053" s="477"/>
      <c r="D1053" s="478">
        <v>171</v>
      </c>
      <c r="E1053" s="478">
        <v>0</v>
      </c>
      <c r="F1053" s="478"/>
      <c r="G1053" s="479">
        <v>171</v>
      </c>
      <c r="I1053" s="476"/>
      <c r="J1053" s="477"/>
      <c r="K1053" s="478">
        <v>34</v>
      </c>
      <c r="L1053" s="478">
        <v>0</v>
      </c>
      <c r="M1053" s="478"/>
      <c r="N1053" s="479">
        <v>34</v>
      </c>
      <c r="P1053" s="476"/>
      <c r="Q1053" s="477"/>
      <c r="R1053" s="478">
        <v>10</v>
      </c>
      <c r="S1053" s="478">
        <v>0</v>
      </c>
      <c r="T1053" s="478"/>
      <c r="U1053" s="479">
        <v>10</v>
      </c>
      <c r="W1053" s="476"/>
      <c r="X1053" s="477"/>
      <c r="Y1053" s="478">
        <v>10</v>
      </c>
      <c r="Z1053" s="478">
        <v>0</v>
      </c>
      <c r="AA1053" s="478"/>
      <c r="AB1053" s="479">
        <v>10</v>
      </c>
      <c r="AD1053" s="476"/>
      <c r="AE1053" s="477"/>
      <c r="AF1053" s="478">
        <v>10</v>
      </c>
      <c r="AG1053" s="478">
        <v>0</v>
      </c>
      <c r="AH1053" s="478"/>
      <c r="AI1053" s="479">
        <v>10</v>
      </c>
      <c r="AK1053" s="476"/>
      <c r="AL1053" s="477"/>
      <c r="AM1053" s="478">
        <v>8</v>
      </c>
      <c r="AN1053" s="478">
        <v>0</v>
      </c>
      <c r="AO1053" s="478"/>
      <c r="AP1053" s="479">
        <v>8</v>
      </c>
    </row>
    <row r="1054" spans="2:48" x14ac:dyDescent="0.25">
      <c r="C1054" s="78"/>
      <c r="J1054" s="78"/>
      <c r="Q1054" s="78"/>
      <c r="X1054" s="78"/>
      <c r="AE1054" s="78"/>
      <c r="AL1054" s="78"/>
    </row>
    <row r="1055" spans="2:48" ht="19.5" thickBot="1" x14ac:dyDescent="0.35">
      <c r="B1055" s="9" t="s">
        <v>444</v>
      </c>
      <c r="C1055" s="78"/>
      <c r="D1055" s="12"/>
      <c r="I1055" s="9" t="s">
        <v>444</v>
      </c>
      <c r="J1055" s="78"/>
      <c r="P1055" s="9" t="s">
        <v>444</v>
      </c>
      <c r="Q1055" s="78"/>
      <c r="W1055" s="9" t="s">
        <v>444</v>
      </c>
      <c r="X1055" s="78"/>
      <c r="AD1055" s="9" t="s">
        <v>444</v>
      </c>
      <c r="AE1055" s="78"/>
      <c r="AK1055" s="9" t="s">
        <v>445</v>
      </c>
      <c r="AL1055" s="78"/>
      <c r="AR1055" s="9" t="s">
        <v>446</v>
      </c>
    </row>
    <row r="1056" spans="2:48" ht="30" x14ac:dyDescent="0.25">
      <c r="B1056" s="20" t="s">
        <v>22</v>
      </c>
      <c r="C1056" s="21" t="s">
        <v>23</v>
      </c>
      <c r="D1056" s="21" t="s">
        <v>24</v>
      </c>
      <c r="E1056" s="21" t="s">
        <v>25</v>
      </c>
      <c r="F1056" s="22" t="s">
        <v>26</v>
      </c>
      <c r="G1056" s="23" t="s">
        <v>27</v>
      </c>
      <c r="I1056" s="20" t="s">
        <v>22</v>
      </c>
      <c r="J1056" s="21" t="s">
        <v>23</v>
      </c>
      <c r="K1056" s="21" t="s">
        <v>24</v>
      </c>
      <c r="L1056" s="21" t="s">
        <v>25</v>
      </c>
      <c r="M1056" s="22" t="s">
        <v>26</v>
      </c>
      <c r="N1056" s="23" t="s">
        <v>27</v>
      </c>
      <c r="P1056" s="20" t="s">
        <v>22</v>
      </c>
      <c r="Q1056" s="21" t="s">
        <v>23</v>
      </c>
      <c r="R1056" s="21" t="s">
        <v>24</v>
      </c>
      <c r="S1056" s="21" t="s">
        <v>25</v>
      </c>
      <c r="T1056" s="22" t="s">
        <v>26</v>
      </c>
      <c r="U1056" s="23" t="s">
        <v>27</v>
      </c>
      <c r="W1056" s="20" t="s">
        <v>22</v>
      </c>
      <c r="X1056" s="21" t="s">
        <v>23</v>
      </c>
      <c r="Y1056" s="21" t="s">
        <v>24</v>
      </c>
      <c r="Z1056" s="21" t="s">
        <v>25</v>
      </c>
      <c r="AA1056" s="22" t="s">
        <v>26</v>
      </c>
      <c r="AB1056" s="23" t="s">
        <v>27</v>
      </c>
      <c r="AD1056" s="20" t="s">
        <v>22</v>
      </c>
      <c r="AE1056" s="21" t="s">
        <v>23</v>
      </c>
      <c r="AF1056" s="21" t="s">
        <v>24</v>
      </c>
      <c r="AG1056" s="21" t="s">
        <v>25</v>
      </c>
      <c r="AH1056" s="22" t="s">
        <v>26</v>
      </c>
      <c r="AI1056" s="23" t="s">
        <v>27</v>
      </c>
      <c r="AK1056" s="20" t="s">
        <v>22</v>
      </c>
      <c r="AL1056" s="21" t="s">
        <v>23</v>
      </c>
      <c r="AM1056" s="21" t="s">
        <v>24</v>
      </c>
      <c r="AN1056" s="21" t="s">
        <v>25</v>
      </c>
      <c r="AO1056" s="22" t="s">
        <v>26</v>
      </c>
      <c r="AP1056" s="23" t="s">
        <v>27</v>
      </c>
      <c r="AR1056" s="25"/>
      <c r="AS1056" s="26" t="s">
        <v>24</v>
      </c>
      <c r="AT1056" s="27" t="s">
        <v>25</v>
      </c>
      <c r="AU1056" s="27" t="s">
        <v>27</v>
      </c>
      <c r="AV1056" s="28" t="s">
        <v>28</v>
      </c>
    </row>
    <row r="1057" spans="2:48" x14ac:dyDescent="0.25">
      <c r="B1057" s="60" t="s">
        <v>447</v>
      </c>
      <c r="C1057" s="48" t="s">
        <v>46</v>
      </c>
      <c r="D1057" s="58">
        <v>126</v>
      </c>
      <c r="E1057" s="132">
        <v>22</v>
      </c>
      <c r="F1057" s="114" t="s">
        <v>448</v>
      </c>
      <c r="G1057" s="118">
        <v>148</v>
      </c>
      <c r="I1057" s="60" t="s">
        <v>447</v>
      </c>
      <c r="J1057" s="48" t="s">
        <v>46</v>
      </c>
      <c r="K1057" s="59">
        <v>0</v>
      </c>
      <c r="L1057" s="132">
        <v>31</v>
      </c>
      <c r="M1057" s="114" t="s">
        <v>449</v>
      </c>
      <c r="N1057" s="118">
        <v>31</v>
      </c>
      <c r="P1057" s="60" t="s">
        <v>447</v>
      </c>
      <c r="Q1057" s="48" t="s">
        <v>46</v>
      </c>
      <c r="R1057" s="59">
        <v>0</v>
      </c>
      <c r="S1057" s="132">
        <v>10</v>
      </c>
      <c r="T1057" s="114" t="s">
        <v>450</v>
      </c>
      <c r="U1057" s="118">
        <v>10</v>
      </c>
      <c r="W1057" s="60" t="s">
        <v>447</v>
      </c>
      <c r="X1057" s="48" t="s">
        <v>46</v>
      </c>
      <c r="Y1057" s="58">
        <v>9</v>
      </c>
      <c r="Z1057" s="132">
        <v>1</v>
      </c>
      <c r="AA1057" s="114" t="s">
        <v>451</v>
      </c>
      <c r="AB1057" s="118">
        <v>10</v>
      </c>
      <c r="AD1057" s="60" t="s">
        <v>447</v>
      </c>
      <c r="AE1057" s="48" t="s">
        <v>46</v>
      </c>
      <c r="AF1057" s="58">
        <v>8</v>
      </c>
      <c r="AG1057" s="59">
        <v>0</v>
      </c>
      <c r="AH1057" s="59"/>
      <c r="AI1057" s="118">
        <v>8</v>
      </c>
      <c r="AK1057" s="60" t="s">
        <v>447</v>
      </c>
      <c r="AL1057" s="48" t="s">
        <v>46</v>
      </c>
      <c r="AM1057" s="58">
        <v>4</v>
      </c>
      <c r="AN1057" s="132">
        <v>3</v>
      </c>
      <c r="AO1057" s="114" t="s">
        <v>452</v>
      </c>
      <c r="AP1057" s="118">
        <v>7</v>
      </c>
      <c r="AR1057" s="38" t="s">
        <v>403</v>
      </c>
      <c r="AS1057" s="39">
        <v>147</v>
      </c>
      <c r="AT1057" s="40">
        <v>67</v>
      </c>
      <c r="AU1057" s="32">
        <f>SUM(AS1057,AT1057)</f>
        <v>214</v>
      </c>
      <c r="AV1057" s="41">
        <f>AU1057/AU1059*100</f>
        <v>88.429752066115711</v>
      </c>
    </row>
    <row r="1058" spans="2:48" x14ac:dyDescent="0.25">
      <c r="B1058" s="29" t="s">
        <v>32</v>
      </c>
      <c r="C1058" s="481">
        <v>1</v>
      </c>
      <c r="D1058" s="41">
        <v>0</v>
      </c>
      <c r="E1058" s="41">
        <v>0</v>
      </c>
      <c r="F1058" s="41"/>
      <c r="G1058" s="120">
        <v>23</v>
      </c>
      <c r="I1058" s="29" t="s">
        <v>32</v>
      </c>
      <c r="J1058" s="481">
        <v>1</v>
      </c>
      <c r="K1058" s="41">
        <v>0</v>
      </c>
      <c r="L1058" s="31">
        <v>1</v>
      </c>
      <c r="M1058" s="41" t="s">
        <v>453</v>
      </c>
      <c r="N1058" s="109">
        <v>3</v>
      </c>
      <c r="P1058" s="29" t="s">
        <v>32</v>
      </c>
      <c r="Q1058" s="481">
        <v>1</v>
      </c>
      <c r="R1058" s="41">
        <v>0</v>
      </c>
      <c r="S1058" s="41">
        <v>0</v>
      </c>
      <c r="T1058" s="41"/>
      <c r="U1058" s="109">
        <v>0</v>
      </c>
      <c r="W1058" s="29" t="s">
        <v>32</v>
      </c>
      <c r="X1058" s="481">
        <v>1</v>
      </c>
      <c r="Y1058" s="41">
        <v>0</v>
      </c>
      <c r="Z1058" s="41">
        <v>0</v>
      </c>
      <c r="AA1058" s="41"/>
      <c r="AB1058" s="109">
        <v>0</v>
      </c>
      <c r="AD1058" s="29" t="s">
        <v>32</v>
      </c>
      <c r="AE1058" s="481">
        <v>1</v>
      </c>
      <c r="AF1058" s="41">
        <v>0</v>
      </c>
      <c r="AG1058" s="41">
        <v>0</v>
      </c>
      <c r="AH1058" s="41"/>
      <c r="AI1058" s="109">
        <v>2</v>
      </c>
      <c r="AK1058" s="29" t="s">
        <v>32</v>
      </c>
      <c r="AL1058" s="481">
        <v>1</v>
      </c>
      <c r="AM1058" s="41">
        <v>0</v>
      </c>
      <c r="AN1058" s="41">
        <v>0</v>
      </c>
      <c r="AO1058" s="41"/>
      <c r="AP1058" s="109">
        <v>0</v>
      </c>
      <c r="AR1058" s="56" t="s">
        <v>32</v>
      </c>
      <c r="AS1058" s="57">
        <v>2</v>
      </c>
      <c r="AT1058" s="58">
        <v>26</v>
      </c>
      <c r="AU1058" s="50">
        <f>SUM(AS1058,AT1058)</f>
        <v>28</v>
      </c>
      <c r="AV1058" s="59">
        <f>AU1058/AU1059*100</f>
        <v>11.570247933884298</v>
      </c>
    </row>
    <row r="1059" spans="2:48" x14ac:dyDescent="0.25">
      <c r="B1059" s="42"/>
      <c r="C1059" s="30">
        <v>2</v>
      </c>
      <c r="D1059" s="41">
        <v>0</v>
      </c>
      <c r="E1059" s="31">
        <v>1</v>
      </c>
      <c r="F1059" s="41" t="s">
        <v>454</v>
      </c>
      <c r="G1059" s="135"/>
      <c r="I1059" s="42"/>
      <c r="J1059" s="30">
        <v>2</v>
      </c>
      <c r="K1059" s="41">
        <v>0</v>
      </c>
      <c r="L1059" s="41">
        <v>0</v>
      </c>
      <c r="M1059" s="41"/>
      <c r="N1059" s="172"/>
      <c r="P1059" s="42"/>
      <c r="Q1059" s="30">
        <v>2</v>
      </c>
      <c r="R1059" s="41">
        <v>0</v>
      </c>
      <c r="S1059" s="41">
        <v>0</v>
      </c>
      <c r="T1059" s="41"/>
      <c r="U1059" s="172"/>
      <c r="W1059" s="42"/>
      <c r="X1059" s="30">
        <v>2</v>
      </c>
      <c r="Y1059" s="41">
        <v>0</v>
      </c>
      <c r="Z1059" s="41">
        <v>0</v>
      </c>
      <c r="AA1059" s="41"/>
      <c r="AB1059" s="172"/>
      <c r="AD1059" s="42"/>
      <c r="AE1059" s="30">
        <v>2</v>
      </c>
      <c r="AF1059" s="40">
        <v>1</v>
      </c>
      <c r="AG1059" s="41">
        <v>0</v>
      </c>
      <c r="AH1059" s="41"/>
      <c r="AI1059" s="172"/>
      <c r="AK1059" s="42"/>
      <c r="AL1059" s="30">
        <v>2</v>
      </c>
      <c r="AM1059" s="41">
        <v>0</v>
      </c>
      <c r="AN1059" s="41">
        <v>0</v>
      </c>
      <c r="AO1059" s="41"/>
      <c r="AP1059" s="172"/>
      <c r="AR1059" s="56" t="s">
        <v>27</v>
      </c>
      <c r="AS1059" s="64">
        <f>SUM(AS1057,AS1058)</f>
        <v>149</v>
      </c>
      <c r="AT1059" s="50">
        <f>SUM(AT1057,AT1058)</f>
        <v>93</v>
      </c>
      <c r="AU1059" s="50">
        <f>SUM(AS1057:AT1058)</f>
        <v>242</v>
      </c>
      <c r="AV1059" s="59"/>
    </row>
    <row r="1060" spans="2:48" x14ac:dyDescent="0.25">
      <c r="B1060" s="42"/>
      <c r="C1060" s="30">
        <v>4</v>
      </c>
      <c r="D1060" s="41">
        <v>0</v>
      </c>
      <c r="E1060" s="41">
        <v>0</v>
      </c>
      <c r="F1060" s="41"/>
      <c r="G1060" s="135"/>
      <c r="I1060" s="42"/>
      <c r="J1060" s="30">
        <v>4</v>
      </c>
      <c r="K1060" s="41">
        <v>0</v>
      </c>
      <c r="L1060" s="41">
        <v>0</v>
      </c>
      <c r="M1060" s="41"/>
      <c r="N1060" s="172"/>
      <c r="P1060" s="42"/>
      <c r="Q1060" s="30">
        <v>4</v>
      </c>
      <c r="R1060" s="41">
        <v>0</v>
      </c>
      <c r="S1060" s="41">
        <v>0</v>
      </c>
      <c r="T1060" s="41"/>
      <c r="U1060" s="172"/>
      <c r="W1060" s="42"/>
      <c r="X1060" s="30">
        <v>4</v>
      </c>
      <c r="Y1060" s="41">
        <v>0</v>
      </c>
      <c r="Z1060" s="41">
        <v>0</v>
      </c>
      <c r="AA1060" s="41"/>
      <c r="AB1060" s="172"/>
      <c r="AD1060" s="42"/>
      <c r="AE1060" s="30">
        <v>4</v>
      </c>
      <c r="AF1060" s="40">
        <v>1</v>
      </c>
      <c r="AG1060" s="41">
        <v>0</v>
      </c>
      <c r="AH1060" s="41"/>
      <c r="AI1060" s="172"/>
      <c r="AK1060" s="42"/>
      <c r="AL1060" s="30">
        <v>4</v>
      </c>
      <c r="AM1060" s="41">
        <v>0</v>
      </c>
      <c r="AN1060" s="41">
        <v>0</v>
      </c>
      <c r="AO1060" s="41"/>
      <c r="AP1060" s="172"/>
      <c r="AR1060" s="56" t="s">
        <v>28</v>
      </c>
      <c r="AS1060" s="64">
        <f>AS1059/AU1059*100</f>
        <v>61.570247933884289</v>
      </c>
      <c r="AT1060" s="59">
        <f>AT1059/AU1059*100</f>
        <v>38.429752066115704</v>
      </c>
      <c r="AU1060" s="59"/>
      <c r="AV1060" s="59"/>
    </row>
    <row r="1061" spans="2:48" x14ac:dyDescent="0.25">
      <c r="B1061" s="47"/>
      <c r="C1061" s="30" t="s">
        <v>33</v>
      </c>
      <c r="D1061" s="41">
        <v>0</v>
      </c>
      <c r="E1061" s="31">
        <v>22</v>
      </c>
      <c r="F1061" t="s">
        <v>455</v>
      </c>
      <c r="G1061" s="121"/>
      <c r="I1061" s="47"/>
      <c r="J1061" s="30" t="s">
        <v>33</v>
      </c>
      <c r="K1061" s="41">
        <v>0</v>
      </c>
      <c r="L1061" s="31">
        <v>2</v>
      </c>
      <c r="M1061" s="41" t="s">
        <v>456</v>
      </c>
      <c r="N1061" s="115"/>
      <c r="P1061" s="47"/>
      <c r="Q1061" s="30" t="s">
        <v>33</v>
      </c>
      <c r="R1061" s="41">
        <v>0</v>
      </c>
      <c r="S1061" s="41">
        <v>0</v>
      </c>
      <c r="T1061" s="41"/>
      <c r="U1061" s="115"/>
      <c r="W1061" s="47"/>
      <c r="X1061" s="30" t="s">
        <v>33</v>
      </c>
      <c r="Y1061" s="41">
        <v>0</v>
      </c>
      <c r="Z1061" s="41">
        <v>0</v>
      </c>
      <c r="AA1061" s="41"/>
      <c r="AB1061" s="115"/>
      <c r="AD1061" s="47"/>
      <c r="AE1061" s="30" t="s">
        <v>33</v>
      </c>
      <c r="AF1061" s="41">
        <v>0</v>
      </c>
      <c r="AG1061" s="41">
        <v>0</v>
      </c>
      <c r="AH1061" s="41"/>
      <c r="AI1061" s="115"/>
      <c r="AK1061" s="47"/>
      <c r="AL1061" s="30" t="s">
        <v>33</v>
      </c>
      <c r="AM1061" s="41">
        <v>0</v>
      </c>
      <c r="AN1061" s="41">
        <v>0</v>
      </c>
      <c r="AO1061" s="41"/>
      <c r="AP1061" s="115"/>
    </row>
    <row r="1062" spans="2:48" ht="15.75" thickBot="1" x14ac:dyDescent="0.3">
      <c r="B1062" s="476"/>
      <c r="C1062" s="477"/>
      <c r="D1062" s="478">
        <v>126</v>
      </c>
      <c r="E1062" s="478">
        <v>45</v>
      </c>
      <c r="F1062" s="478"/>
      <c r="G1062" s="479">
        <v>171</v>
      </c>
      <c r="I1062" s="476"/>
      <c r="J1062" s="477"/>
      <c r="K1062" s="478">
        <v>0</v>
      </c>
      <c r="L1062" s="478">
        <v>34</v>
      </c>
      <c r="M1062" s="478"/>
      <c r="N1062" s="479">
        <v>34</v>
      </c>
      <c r="P1062" s="476"/>
      <c r="Q1062" s="477"/>
      <c r="R1062" s="478">
        <v>0</v>
      </c>
      <c r="S1062" s="478">
        <v>10</v>
      </c>
      <c r="T1062" s="478"/>
      <c r="U1062" s="479">
        <v>10</v>
      </c>
      <c r="W1062" s="476"/>
      <c r="X1062" s="477"/>
      <c r="Y1062" s="478">
        <v>9</v>
      </c>
      <c r="Z1062" s="478">
        <v>1</v>
      </c>
      <c r="AA1062" s="478"/>
      <c r="AB1062" s="479">
        <v>10</v>
      </c>
      <c r="AD1062" s="476"/>
      <c r="AE1062" s="477"/>
      <c r="AF1062" s="478">
        <v>10</v>
      </c>
      <c r="AG1062" s="478">
        <v>0</v>
      </c>
      <c r="AH1062" s="478"/>
      <c r="AI1062" s="479">
        <v>10</v>
      </c>
      <c r="AK1062" s="476"/>
      <c r="AL1062" s="477"/>
      <c r="AM1062" s="478">
        <v>4</v>
      </c>
      <c r="AN1062" s="478">
        <v>3</v>
      </c>
      <c r="AO1062" s="478"/>
      <c r="AP1062" s="479">
        <v>7</v>
      </c>
    </row>
    <row r="1063" spans="2:48" x14ac:dyDescent="0.25">
      <c r="C1063" s="78"/>
      <c r="J1063" s="78"/>
      <c r="Q1063" s="78"/>
      <c r="X1063" s="78"/>
      <c r="AE1063" s="78"/>
      <c r="AL1063" s="78"/>
    </row>
    <row r="1064" spans="2:48" ht="19.5" thickBot="1" x14ac:dyDescent="0.35">
      <c r="B1064" s="9" t="s">
        <v>457</v>
      </c>
      <c r="C1064" s="78"/>
      <c r="D1064" s="12"/>
      <c r="I1064" s="9" t="s">
        <v>457</v>
      </c>
      <c r="J1064" s="78"/>
      <c r="L1064" s="12"/>
      <c r="P1064" s="9" t="s">
        <v>457</v>
      </c>
      <c r="Q1064" s="78"/>
      <c r="S1064" s="12"/>
      <c r="W1064" s="9" t="s">
        <v>457</v>
      </c>
      <c r="X1064" s="78"/>
      <c r="Z1064" s="12"/>
      <c r="AD1064" s="9" t="s">
        <v>457</v>
      </c>
      <c r="AE1064" s="78"/>
      <c r="AG1064" s="12"/>
      <c r="AK1064" s="9" t="s">
        <v>457</v>
      </c>
      <c r="AL1064" s="78"/>
      <c r="AN1064" s="12"/>
      <c r="AR1064" s="9" t="s">
        <v>458</v>
      </c>
    </row>
    <row r="1065" spans="2:48" ht="30" x14ac:dyDescent="0.25">
      <c r="B1065" s="20" t="s">
        <v>22</v>
      </c>
      <c r="C1065" s="21" t="s">
        <v>23</v>
      </c>
      <c r="D1065" s="21" t="s">
        <v>24</v>
      </c>
      <c r="E1065" s="21" t="s">
        <v>25</v>
      </c>
      <c r="F1065" s="22" t="s">
        <v>26</v>
      </c>
      <c r="G1065" s="23" t="s">
        <v>27</v>
      </c>
      <c r="I1065" s="20" t="s">
        <v>22</v>
      </c>
      <c r="J1065" s="21" t="s">
        <v>23</v>
      </c>
      <c r="K1065" s="21" t="s">
        <v>24</v>
      </c>
      <c r="L1065" s="21" t="s">
        <v>25</v>
      </c>
      <c r="M1065" s="22" t="s">
        <v>26</v>
      </c>
      <c r="N1065" s="23" t="s">
        <v>27</v>
      </c>
      <c r="P1065" s="20" t="s">
        <v>22</v>
      </c>
      <c r="Q1065" s="21" t="s">
        <v>23</v>
      </c>
      <c r="R1065" s="21" t="s">
        <v>24</v>
      </c>
      <c r="S1065" s="21" t="s">
        <v>25</v>
      </c>
      <c r="T1065" s="22" t="s">
        <v>26</v>
      </c>
      <c r="U1065" s="23" t="s">
        <v>27</v>
      </c>
      <c r="W1065" s="20" t="s">
        <v>22</v>
      </c>
      <c r="X1065" s="21" t="s">
        <v>23</v>
      </c>
      <c r="Y1065" s="21" t="s">
        <v>24</v>
      </c>
      <c r="Z1065" s="21" t="s">
        <v>25</v>
      </c>
      <c r="AA1065" s="22" t="s">
        <v>26</v>
      </c>
      <c r="AB1065" s="23" t="s">
        <v>27</v>
      </c>
      <c r="AD1065" s="20" t="s">
        <v>22</v>
      </c>
      <c r="AE1065" s="21" t="s">
        <v>23</v>
      </c>
      <c r="AF1065" s="21" t="s">
        <v>24</v>
      </c>
      <c r="AG1065" s="21" t="s">
        <v>25</v>
      </c>
      <c r="AH1065" s="22" t="s">
        <v>26</v>
      </c>
      <c r="AI1065" s="23" t="s">
        <v>27</v>
      </c>
      <c r="AK1065" s="20" t="s">
        <v>22</v>
      </c>
      <c r="AL1065" s="21" t="s">
        <v>23</v>
      </c>
      <c r="AM1065" s="21" t="s">
        <v>24</v>
      </c>
      <c r="AN1065" s="21" t="s">
        <v>25</v>
      </c>
      <c r="AO1065" s="22" t="s">
        <v>26</v>
      </c>
      <c r="AP1065" s="23" t="s">
        <v>27</v>
      </c>
      <c r="AR1065" s="25"/>
      <c r="AS1065" s="26" t="s">
        <v>24</v>
      </c>
      <c r="AT1065" s="27" t="s">
        <v>25</v>
      </c>
      <c r="AU1065" s="27" t="s">
        <v>27</v>
      </c>
      <c r="AV1065" s="28" t="s">
        <v>28</v>
      </c>
    </row>
    <row r="1066" spans="2:48" x14ac:dyDescent="0.25">
      <c r="B1066" s="29" t="s">
        <v>29</v>
      </c>
      <c r="C1066" s="30" t="s">
        <v>46</v>
      </c>
      <c r="D1066" s="31">
        <v>130</v>
      </c>
      <c r="E1066" s="40">
        <v>2</v>
      </c>
      <c r="F1066" s="119" t="s">
        <v>459</v>
      </c>
      <c r="G1066" s="109">
        <v>134</v>
      </c>
      <c r="I1066" s="29" t="s">
        <v>29</v>
      </c>
      <c r="J1066" s="30" t="s">
        <v>46</v>
      </c>
      <c r="K1066" s="31">
        <v>27</v>
      </c>
      <c r="L1066" s="40">
        <v>1</v>
      </c>
      <c r="M1066" s="119" t="s">
        <v>460</v>
      </c>
      <c r="N1066" s="109">
        <v>28</v>
      </c>
      <c r="P1066" s="29" t="s">
        <v>29</v>
      </c>
      <c r="Q1066" s="30" t="s">
        <v>46</v>
      </c>
      <c r="R1066" s="31">
        <v>9</v>
      </c>
      <c r="S1066" s="41">
        <v>0</v>
      </c>
      <c r="T1066" s="41"/>
      <c r="U1066" s="109">
        <v>10</v>
      </c>
      <c r="W1066" s="29" t="s">
        <v>29</v>
      </c>
      <c r="X1066" s="30" t="s">
        <v>46</v>
      </c>
      <c r="Y1066" s="31">
        <v>10</v>
      </c>
      <c r="Z1066" s="41">
        <v>0</v>
      </c>
      <c r="AA1066" s="41"/>
      <c r="AB1066" s="109">
        <v>10</v>
      </c>
      <c r="AD1066" s="29" t="s">
        <v>29</v>
      </c>
      <c r="AE1066" s="30" t="s">
        <v>46</v>
      </c>
      <c r="AF1066" s="31">
        <v>7</v>
      </c>
      <c r="AG1066" s="41">
        <v>0</v>
      </c>
      <c r="AH1066" s="41"/>
      <c r="AI1066" s="109">
        <v>8</v>
      </c>
      <c r="AK1066" s="29" t="s">
        <v>29</v>
      </c>
      <c r="AL1066" s="30" t="s">
        <v>46</v>
      </c>
      <c r="AM1066" s="31">
        <v>7</v>
      </c>
      <c r="AN1066" s="41">
        <v>0</v>
      </c>
      <c r="AO1066" s="41"/>
      <c r="AP1066" s="109">
        <v>8</v>
      </c>
      <c r="AR1066" s="38" t="s">
        <v>29</v>
      </c>
      <c r="AS1066" s="39">
        <v>195</v>
      </c>
      <c r="AT1066" s="40">
        <v>3</v>
      </c>
      <c r="AU1066" s="32">
        <f>SUM(AS1066,AT1066)</f>
        <v>198</v>
      </c>
      <c r="AV1066" s="41">
        <f>AU1066/AU1069*100</f>
        <v>81.481481481481481</v>
      </c>
    </row>
    <row r="1067" spans="2:48" x14ac:dyDescent="0.25">
      <c r="B1067" s="42"/>
      <c r="C1067" s="481">
        <v>1</v>
      </c>
      <c r="D1067" s="31">
        <v>2</v>
      </c>
      <c r="E1067" s="41">
        <v>0</v>
      </c>
      <c r="F1067" s="41"/>
      <c r="G1067" s="172"/>
      <c r="I1067" s="42"/>
      <c r="J1067" s="481">
        <v>1</v>
      </c>
      <c r="K1067" s="41">
        <v>0</v>
      </c>
      <c r="L1067" s="41">
        <v>0</v>
      </c>
      <c r="M1067" s="41"/>
      <c r="N1067" s="172"/>
      <c r="P1067" s="42"/>
      <c r="Q1067" s="481">
        <v>1</v>
      </c>
      <c r="R1067" s="31">
        <v>1</v>
      </c>
      <c r="S1067" s="41">
        <v>0</v>
      </c>
      <c r="T1067" s="41"/>
      <c r="U1067" s="172"/>
      <c r="W1067" s="42"/>
      <c r="X1067" s="481">
        <v>1</v>
      </c>
      <c r="Y1067" s="41">
        <v>0</v>
      </c>
      <c r="Z1067" s="41">
        <v>0</v>
      </c>
      <c r="AA1067" s="41"/>
      <c r="AB1067" s="172"/>
      <c r="AD1067" s="42"/>
      <c r="AE1067" s="481">
        <v>1</v>
      </c>
      <c r="AF1067" s="45">
        <v>0</v>
      </c>
      <c r="AG1067" s="41">
        <v>0</v>
      </c>
      <c r="AH1067" s="41"/>
      <c r="AI1067" s="172"/>
      <c r="AK1067" s="42"/>
      <c r="AL1067" s="481">
        <v>1</v>
      </c>
      <c r="AM1067" s="31">
        <v>1</v>
      </c>
      <c r="AN1067" s="41">
        <v>0</v>
      </c>
      <c r="AO1067" s="41"/>
      <c r="AP1067" s="172"/>
      <c r="AR1067" s="38" t="s">
        <v>31</v>
      </c>
      <c r="AS1067" s="2">
        <v>0</v>
      </c>
      <c r="AT1067" s="40">
        <v>0</v>
      </c>
      <c r="AU1067" s="41">
        <v>0</v>
      </c>
      <c r="AV1067" s="41">
        <v>0</v>
      </c>
    </row>
    <row r="1068" spans="2:48" x14ac:dyDescent="0.25">
      <c r="B1068" s="47"/>
      <c r="C1068" s="48">
        <v>2</v>
      </c>
      <c r="D1068" s="59">
        <v>0</v>
      </c>
      <c r="E1068" s="59">
        <v>0</v>
      </c>
      <c r="F1068" s="59"/>
      <c r="G1068" s="115"/>
      <c r="I1068" s="47"/>
      <c r="J1068" s="48">
        <v>2</v>
      </c>
      <c r="K1068" s="59">
        <v>0</v>
      </c>
      <c r="L1068" s="59">
        <v>0</v>
      </c>
      <c r="M1068" s="59"/>
      <c r="N1068" s="115"/>
      <c r="P1068" s="47"/>
      <c r="Q1068" s="48">
        <v>2</v>
      </c>
      <c r="R1068" s="59">
        <v>0</v>
      </c>
      <c r="S1068" s="59">
        <v>0</v>
      </c>
      <c r="T1068" s="59"/>
      <c r="U1068" s="115"/>
      <c r="W1068" s="47"/>
      <c r="X1068" s="48">
        <v>2</v>
      </c>
      <c r="Y1068" s="59">
        <v>0</v>
      </c>
      <c r="Z1068" s="59">
        <v>0</v>
      </c>
      <c r="AA1068" s="59"/>
      <c r="AB1068" s="115"/>
      <c r="AD1068" s="47"/>
      <c r="AE1068" s="48">
        <v>2</v>
      </c>
      <c r="AF1068" s="58">
        <v>1</v>
      </c>
      <c r="AG1068" s="59">
        <v>0</v>
      </c>
      <c r="AH1068" s="59"/>
      <c r="AI1068" s="115"/>
      <c r="AK1068" s="47"/>
      <c r="AL1068" s="48">
        <v>2</v>
      </c>
      <c r="AM1068" s="59">
        <v>0</v>
      </c>
      <c r="AN1068" s="59">
        <v>0</v>
      </c>
      <c r="AO1068" s="59"/>
      <c r="AP1068" s="115"/>
      <c r="AR1068" s="56" t="s">
        <v>32</v>
      </c>
      <c r="AS1068" s="57">
        <v>1</v>
      </c>
      <c r="AT1068" s="58">
        <v>44</v>
      </c>
      <c r="AU1068" s="50">
        <f>SUM(AS1068,AT1068)</f>
        <v>45</v>
      </c>
      <c r="AV1068" s="59">
        <f>AU1068/AU1069*100</f>
        <v>18.518518518518519</v>
      </c>
    </row>
    <row r="1069" spans="2:48" x14ac:dyDescent="0.25">
      <c r="B1069" s="60" t="s">
        <v>31</v>
      </c>
      <c r="C1069" s="48">
        <v>4</v>
      </c>
      <c r="D1069" s="59">
        <v>0</v>
      </c>
      <c r="E1069" s="59">
        <v>0</v>
      </c>
      <c r="F1069" s="59"/>
      <c r="G1069" s="118">
        <v>0</v>
      </c>
      <c r="I1069" s="60" t="s">
        <v>31</v>
      </c>
      <c r="J1069" s="48">
        <v>4</v>
      </c>
      <c r="K1069" s="59">
        <v>0</v>
      </c>
      <c r="L1069" s="59">
        <v>0</v>
      </c>
      <c r="M1069" s="59"/>
      <c r="N1069" s="382">
        <v>0</v>
      </c>
      <c r="P1069" s="60" t="s">
        <v>31</v>
      </c>
      <c r="Q1069" s="48">
        <v>4</v>
      </c>
      <c r="R1069" s="59">
        <v>0</v>
      </c>
      <c r="S1069" s="59">
        <v>0</v>
      </c>
      <c r="T1069" s="59"/>
      <c r="U1069" s="382">
        <v>0</v>
      </c>
      <c r="W1069" s="60" t="s">
        <v>31</v>
      </c>
      <c r="X1069" s="48">
        <v>4</v>
      </c>
      <c r="Y1069" s="59">
        <v>0</v>
      </c>
      <c r="Z1069" s="59">
        <v>0</v>
      </c>
      <c r="AA1069" s="59"/>
      <c r="AB1069" s="382">
        <v>0</v>
      </c>
      <c r="AD1069" s="60" t="s">
        <v>31</v>
      </c>
      <c r="AE1069" s="48">
        <v>4</v>
      </c>
      <c r="AF1069" s="49">
        <v>0</v>
      </c>
      <c r="AG1069" s="59">
        <v>0</v>
      </c>
      <c r="AH1069" s="59"/>
      <c r="AI1069" s="382">
        <v>0</v>
      </c>
      <c r="AK1069" s="60" t="s">
        <v>31</v>
      </c>
      <c r="AL1069" s="48">
        <v>4</v>
      </c>
      <c r="AM1069" s="59">
        <v>0</v>
      </c>
      <c r="AN1069" s="59">
        <v>0</v>
      </c>
      <c r="AO1069" s="59"/>
      <c r="AP1069" s="382">
        <v>0</v>
      </c>
      <c r="AR1069" s="56" t="s">
        <v>27</v>
      </c>
      <c r="AS1069" s="64">
        <f>SUM(AS1066,AS1068)</f>
        <v>196</v>
      </c>
      <c r="AT1069" s="50">
        <f>SUM(AT1066,AT1068)</f>
        <v>47</v>
      </c>
      <c r="AU1069" s="50">
        <f>SUM(AS1066:AT1068)</f>
        <v>243</v>
      </c>
      <c r="AV1069" s="59"/>
    </row>
    <row r="1070" spans="2:48" x14ac:dyDescent="0.25">
      <c r="B1070" s="504" t="s">
        <v>32</v>
      </c>
      <c r="C1070" s="30" t="s">
        <v>33</v>
      </c>
      <c r="D1070" s="40" t="s">
        <v>461</v>
      </c>
      <c r="E1070" s="31">
        <v>36</v>
      </c>
      <c r="F1070" s="41" t="s">
        <v>462</v>
      </c>
      <c r="G1070" s="505">
        <v>37</v>
      </c>
      <c r="I1070" s="504" t="s">
        <v>32</v>
      </c>
      <c r="J1070" s="30" t="s">
        <v>33</v>
      </c>
      <c r="K1070" s="41">
        <v>0</v>
      </c>
      <c r="L1070" s="31">
        <v>6</v>
      </c>
      <c r="M1070" s="41" t="s">
        <v>463</v>
      </c>
      <c r="N1070" s="505">
        <v>6</v>
      </c>
      <c r="P1070" s="504" t="s">
        <v>32</v>
      </c>
      <c r="Q1070" s="30" t="s">
        <v>33</v>
      </c>
      <c r="R1070" s="41">
        <v>0</v>
      </c>
      <c r="S1070" s="41">
        <v>0</v>
      </c>
      <c r="T1070" s="41"/>
      <c r="U1070" s="505">
        <v>0</v>
      </c>
      <c r="W1070" s="504" t="s">
        <v>32</v>
      </c>
      <c r="X1070" s="30" t="s">
        <v>33</v>
      </c>
      <c r="Y1070" s="41">
        <v>0</v>
      </c>
      <c r="Z1070" s="41">
        <v>0</v>
      </c>
      <c r="AA1070" s="41"/>
      <c r="AB1070" s="505">
        <v>0</v>
      </c>
      <c r="AD1070" s="504" t="s">
        <v>32</v>
      </c>
      <c r="AE1070" s="30" t="s">
        <v>33</v>
      </c>
      <c r="AF1070" s="41">
        <v>8</v>
      </c>
      <c r="AG1070" s="31">
        <v>2</v>
      </c>
      <c r="AH1070" s="41" t="s">
        <v>464</v>
      </c>
      <c r="AI1070" s="505">
        <v>2</v>
      </c>
      <c r="AK1070" s="504" t="s">
        <v>32</v>
      </c>
      <c r="AL1070" s="30" t="s">
        <v>33</v>
      </c>
      <c r="AM1070" s="41">
        <v>0</v>
      </c>
      <c r="AN1070" s="41">
        <v>0</v>
      </c>
      <c r="AO1070" s="41"/>
      <c r="AP1070" s="505">
        <v>0</v>
      </c>
      <c r="AR1070" s="56" t="s">
        <v>28</v>
      </c>
      <c r="AS1070" s="64">
        <f>AS1069/AU1069*100</f>
        <v>80.658436213991763</v>
      </c>
      <c r="AT1070" s="59">
        <f>AT1069/AU1069*100</f>
        <v>19.34156378600823</v>
      </c>
      <c r="AU1070" s="59"/>
      <c r="AV1070" s="59"/>
    </row>
    <row r="1071" spans="2:48" ht="15.75" thickBot="1" x14ac:dyDescent="0.3">
      <c r="B1071" s="476"/>
      <c r="C1071" s="477"/>
      <c r="D1071" s="478">
        <v>133</v>
      </c>
      <c r="E1071" s="478">
        <v>38</v>
      </c>
      <c r="F1071" s="478"/>
      <c r="G1071" s="479">
        <v>171</v>
      </c>
      <c r="I1071" s="476"/>
      <c r="J1071" s="477"/>
      <c r="K1071" s="478">
        <v>27</v>
      </c>
      <c r="L1071" s="478">
        <v>7</v>
      </c>
      <c r="M1071" s="478"/>
      <c r="N1071" s="479">
        <v>34</v>
      </c>
      <c r="P1071" s="476"/>
      <c r="Q1071" s="477"/>
      <c r="R1071" s="478">
        <v>10</v>
      </c>
      <c r="S1071" s="478">
        <v>0</v>
      </c>
      <c r="T1071" s="478"/>
      <c r="U1071" s="479">
        <v>10</v>
      </c>
      <c r="W1071" s="476"/>
      <c r="X1071" s="477"/>
      <c r="Y1071" s="478">
        <v>10</v>
      </c>
      <c r="Z1071" s="478">
        <v>0</v>
      </c>
      <c r="AA1071" s="478"/>
      <c r="AB1071" s="479">
        <v>10</v>
      </c>
      <c r="AD1071" s="476"/>
      <c r="AE1071" s="477"/>
      <c r="AF1071" s="478">
        <v>8</v>
      </c>
      <c r="AG1071" s="478">
        <v>2</v>
      </c>
      <c r="AH1071" s="478"/>
      <c r="AI1071" s="479">
        <v>10</v>
      </c>
      <c r="AK1071" s="476"/>
      <c r="AL1071" s="477"/>
      <c r="AM1071" s="478">
        <v>8</v>
      </c>
      <c r="AN1071" s="478">
        <v>0</v>
      </c>
      <c r="AO1071" s="478"/>
      <c r="AP1071" s="479">
        <v>8</v>
      </c>
    </row>
    <row r="1072" spans="2:48" x14ac:dyDescent="0.25">
      <c r="C1072" s="78"/>
      <c r="J1072" s="78"/>
      <c r="Q1072" s="78"/>
      <c r="X1072" s="78"/>
      <c r="AE1072" s="78"/>
      <c r="AL1072" s="78"/>
    </row>
    <row r="1073" spans="2:48" ht="19.5" thickBot="1" x14ac:dyDescent="0.35">
      <c r="B1073" s="9" t="s">
        <v>58</v>
      </c>
      <c r="C1073" s="78"/>
      <c r="D1073" s="12"/>
      <c r="I1073" s="9" t="s">
        <v>58</v>
      </c>
      <c r="J1073" s="78"/>
      <c r="P1073" s="9" t="s">
        <v>58</v>
      </c>
      <c r="Q1073" s="78"/>
      <c r="W1073" s="9" t="s">
        <v>58</v>
      </c>
      <c r="X1073" s="78"/>
      <c r="AD1073" s="9" t="s">
        <v>58</v>
      </c>
      <c r="AE1073" s="78"/>
      <c r="AK1073" s="9" t="s">
        <v>465</v>
      </c>
      <c r="AL1073" s="78"/>
      <c r="AR1073" s="9" t="s">
        <v>466</v>
      </c>
    </row>
    <row r="1074" spans="2:48" ht="30" x14ac:dyDescent="0.25">
      <c r="B1074" s="20" t="s">
        <v>22</v>
      </c>
      <c r="C1074" s="21" t="s">
        <v>23</v>
      </c>
      <c r="D1074" s="21" t="s">
        <v>24</v>
      </c>
      <c r="E1074" s="21" t="s">
        <v>25</v>
      </c>
      <c r="F1074" s="22" t="s">
        <v>26</v>
      </c>
      <c r="G1074" s="23" t="s">
        <v>27</v>
      </c>
      <c r="I1074" s="20" t="s">
        <v>22</v>
      </c>
      <c r="J1074" s="21" t="s">
        <v>23</v>
      </c>
      <c r="K1074" s="21" t="s">
        <v>24</v>
      </c>
      <c r="L1074" s="21" t="s">
        <v>25</v>
      </c>
      <c r="M1074" s="22" t="s">
        <v>26</v>
      </c>
      <c r="N1074" s="23" t="s">
        <v>27</v>
      </c>
      <c r="P1074" s="20" t="s">
        <v>22</v>
      </c>
      <c r="Q1074" s="21" t="s">
        <v>23</v>
      </c>
      <c r="R1074" s="21" t="s">
        <v>24</v>
      </c>
      <c r="S1074" s="21" t="s">
        <v>25</v>
      </c>
      <c r="T1074" s="22" t="s">
        <v>26</v>
      </c>
      <c r="U1074" s="23" t="s">
        <v>27</v>
      </c>
      <c r="W1074" s="20" t="s">
        <v>22</v>
      </c>
      <c r="X1074" s="21" t="s">
        <v>23</v>
      </c>
      <c r="Y1074" s="21" t="s">
        <v>24</v>
      </c>
      <c r="Z1074" s="21" t="s">
        <v>25</v>
      </c>
      <c r="AA1074" s="22" t="s">
        <v>26</v>
      </c>
      <c r="AB1074" s="23" t="s">
        <v>27</v>
      </c>
      <c r="AD1074" s="20" t="s">
        <v>22</v>
      </c>
      <c r="AE1074" s="21" t="s">
        <v>23</v>
      </c>
      <c r="AF1074" s="21" t="s">
        <v>24</v>
      </c>
      <c r="AG1074" s="21" t="s">
        <v>25</v>
      </c>
      <c r="AH1074" s="22" t="s">
        <v>26</v>
      </c>
      <c r="AI1074" s="23" t="s">
        <v>27</v>
      </c>
      <c r="AK1074" s="20" t="s">
        <v>22</v>
      </c>
      <c r="AL1074" s="21" t="s">
        <v>23</v>
      </c>
      <c r="AM1074" s="21" t="s">
        <v>24</v>
      </c>
      <c r="AN1074" s="21" t="s">
        <v>25</v>
      </c>
      <c r="AO1074" s="22" t="s">
        <v>26</v>
      </c>
      <c r="AP1074" s="23" t="s">
        <v>27</v>
      </c>
      <c r="AR1074" s="25"/>
      <c r="AS1074" s="26" t="s">
        <v>24</v>
      </c>
      <c r="AT1074" s="27" t="s">
        <v>25</v>
      </c>
      <c r="AU1074" s="27" t="s">
        <v>27</v>
      </c>
      <c r="AV1074" s="28" t="s">
        <v>28</v>
      </c>
    </row>
    <row r="1075" spans="2:48" x14ac:dyDescent="0.25">
      <c r="B1075" s="60" t="s">
        <v>29</v>
      </c>
      <c r="C1075" s="48" t="s">
        <v>93</v>
      </c>
      <c r="D1075" s="58">
        <v>162</v>
      </c>
      <c r="E1075" s="59">
        <v>0</v>
      </c>
      <c r="F1075" s="59"/>
      <c r="G1075" s="118">
        <v>162</v>
      </c>
      <c r="I1075" s="60" t="s">
        <v>29</v>
      </c>
      <c r="J1075" s="48" t="s">
        <v>93</v>
      </c>
      <c r="K1075" s="58">
        <v>33</v>
      </c>
      <c r="L1075" s="59">
        <v>0</v>
      </c>
      <c r="M1075" s="59"/>
      <c r="N1075" s="118">
        <v>33</v>
      </c>
      <c r="P1075" s="60" t="s">
        <v>29</v>
      </c>
      <c r="Q1075" s="48" t="s">
        <v>93</v>
      </c>
      <c r="R1075" s="58">
        <v>10</v>
      </c>
      <c r="S1075" s="59">
        <v>0</v>
      </c>
      <c r="T1075" s="59"/>
      <c r="U1075" s="118">
        <v>10</v>
      </c>
      <c r="W1075" s="60" t="s">
        <v>29</v>
      </c>
      <c r="X1075" s="48" t="s">
        <v>93</v>
      </c>
      <c r="Y1075" s="58">
        <v>10</v>
      </c>
      <c r="Z1075" s="59">
        <v>0</v>
      </c>
      <c r="AA1075" s="59"/>
      <c r="AB1075" s="118">
        <v>10</v>
      </c>
      <c r="AD1075" s="60" t="s">
        <v>29</v>
      </c>
      <c r="AE1075" s="48" t="s">
        <v>93</v>
      </c>
      <c r="AF1075" s="58">
        <v>9</v>
      </c>
      <c r="AG1075" s="59">
        <v>0</v>
      </c>
      <c r="AH1075" s="59"/>
      <c r="AI1075" s="118">
        <v>9</v>
      </c>
      <c r="AK1075" s="60" t="s">
        <v>29</v>
      </c>
      <c r="AL1075" s="48" t="s">
        <v>93</v>
      </c>
      <c r="AM1075" s="58">
        <v>7</v>
      </c>
      <c r="AN1075" s="59">
        <v>0</v>
      </c>
      <c r="AO1075" s="59"/>
      <c r="AP1075" s="118">
        <v>7</v>
      </c>
      <c r="AR1075" s="38" t="s">
        <v>29</v>
      </c>
      <c r="AS1075" s="39">
        <v>231</v>
      </c>
      <c r="AT1075" s="40">
        <v>0</v>
      </c>
      <c r="AU1075" s="32">
        <f>SUM(AS1075,AT1075)</f>
        <v>231</v>
      </c>
      <c r="AV1075" s="41">
        <f>AU1075/AU1077*100</f>
        <v>95.454545454545453</v>
      </c>
    </row>
    <row r="1076" spans="2:48" x14ac:dyDescent="0.25">
      <c r="B1076" s="29" t="s">
        <v>32</v>
      </c>
      <c r="C1076" s="481">
        <v>4</v>
      </c>
      <c r="D1076" s="40">
        <v>1</v>
      </c>
      <c r="E1076" s="31">
        <v>1</v>
      </c>
      <c r="F1076" s="41" t="s">
        <v>467</v>
      </c>
      <c r="G1076" s="120">
        <v>9</v>
      </c>
      <c r="I1076" s="29" t="s">
        <v>32</v>
      </c>
      <c r="J1076" s="481">
        <v>4</v>
      </c>
      <c r="K1076" s="41">
        <v>0</v>
      </c>
      <c r="L1076" s="41"/>
      <c r="M1076" s="41"/>
      <c r="N1076" s="109">
        <v>1</v>
      </c>
      <c r="P1076" s="29" t="s">
        <v>32</v>
      </c>
      <c r="Q1076" s="481">
        <v>4</v>
      </c>
      <c r="R1076" s="41">
        <v>0</v>
      </c>
      <c r="S1076" s="41">
        <v>0</v>
      </c>
      <c r="T1076" s="41"/>
      <c r="U1076" s="109">
        <v>0</v>
      </c>
      <c r="W1076" s="29" t="s">
        <v>32</v>
      </c>
      <c r="X1076" s="481">
        <v>4</v>
      </c>
      <c r="Y1076" s="41">
        <v>0</v>
      </c>
      <c r="Z1076" s="41">
        <v>0</v>
      </c>
      <c r="AA1076" s="41"/>
      <c r="AB1076" s="109">
        <v>0</v>
      </c>
      <c r="AD1076" s="29" t="s">
        <v>32</v>
      </c>
      <c r="AE1076" s="481">
        <v>4</v>
      </c>
      <c r="AF1076" s="41">
        <v>0</v>
      </c>
      <c r="AG1076" s="41">
        <v>0</v>
      </c>
      <c r="AH1076" s="41"/>
      <c r="AI1076" s="109">
        <v>1</v>
      </c>
      <c r="AK1076" s="29" t="s">
        <v>32</v>
      </c>
      <c r="AL1076" s="481">
        <v>4</v>
      </c>
      <c r="AM1076" s="41">
        <v>0</v>
      </c>
      <c r="AN1076" s="41">
        <v>0</v>
      </c>
      <c r="AO1076" s="41"/>
      <c r="AP1076" s="109">
        <v>0</v>
      </c>
      <c r="AR1076" s="56" t="s">
        <v>32</v>
      </c>
      <c r="AS1076" s="57">
        <v>2</v>
      </c>
      <c r="AT1076" s="58">
        <v>9</v>
      </c>
      <c r="AU1076" s="50">
        <f>SUM(AS1076,AT1076)</f>
        <v>11</v>
      </c>
      <c r="AV1076" s="59">
        <f>AU1076/AU1077*100</f>
        <v>4.5454545454545459</v>
      </c>
    </row>
    <row r="1077" spans="2:48" x14ac:dyDescent="0.25">
      <c r="B1077" s="42"/>
      <c r="C1077" s="30">
        <v>8</v>
      </c>
      <c r="D1077" s="40">
        <v>1</v>
      </c>
      <c r="E1077" s="41">
        <v>0</v>
      </c>
      <c r="F1077" s="41"/>
      <c r="G1077" s="135"/>
      <c r="I1077" s="42"/>
      <c r="J1077" s="30">
        <v>8</v>
      </c>
      <c r="K1077" s="41">
        <v>0</v>
      </c>
      <c r="L1077" s="41">
        <v>0</v>
      </c>
      <c r="M1077" s="41"/>
      <c r="N1077" s="172"/>
      <c r="P1077" s="42"/>
      <c r="Q1077" s="30">
        <v>8</v>
      </c>
      <c r="R1077" s="41">
        <v>0</v>
      </c>
      <c r="S1077" s="41">
        <v>0</v>
      </c>
      <c r="T1077" s="41"/>
      <c r="U1077" s="172"/>
      <c r="W1077" s="42"/>
      <c r="X1077" s="30">
        <v>8</v>
      </c>
      <c r="Y1077" s="41">
        <v>0</v>
      </c>
      <c r="Z1077" s="41">
        <v>0</v>
      </c>
      <c r="AA1077" s="41"/>
      <c r="AB1077" s="172"/>
      <c r="AD1077" s="42"/>
      <c r="AE1077" s="30">
        <v>8</v>
      </c>
      <c r="AF1077" s="41">
        <v>0</v>
      </c>
      <c r="AG1077" s="31">
        <v>1</v>
      </c>
      <c r="AH1077" s="41" t="s">
        <v>468</v>
      </c>
      <c r="AI1077" s="172"/>
      <c r="AK1077" s="42"/>
      <c r="AL1077" s="30">
        <v>8</v>
      </c>
      <c r="AM1077" s="41">
        <v>0</v>
      </c>
      <c r="AN1077" s="41">
        <v>0</v>
      </c>
      <c r="AO1077" s="41"/>
      <c r="AP1077" s="172"/>
      <c r="AR1077" s="56" t="s">
        <v>27</v>
      </c>
      <c r="AS1077" s="64">
        <f>SUM(AS1075,AS1076)</f>
        <v>233</v>
      </c>
      <c r="AT1077" s="50">
        <f>SUM(AT1075,AT1076)</f>
        <v>9</v>
      </c>
      <c r="AU1077" s="50">
        <f>SUM(AS1075:AT1076)</f>
        <v>242</v>
      </c>
      <c r="AV1077" s="59"/>
    </row>
    <row r="1078" spans="2:48" x14ac:dyDescent="0.25">
      <c r="B1078" s="42"/>
      <c r="C1078" s="30">
        <v>16</v>
      </c>
      <c r="D1078" s="41">
        <v>0</v>
      </c>
      <c r="E1078" s="31">
        <v>1</v>
      </c>
      <c r="F1078" s="41" t="s">
        <v>469</v>
      </c>
      <c r="G1078" s="135"/>
      <c r="I1078" s="42"/>
      <c r="J1078" s="30">
        <v>16</v>
      </c>
      <c r="K1078" s="41">
        <v>0</v>
      </c>
      <c r="L1078" s="41">
        <v>0</v>
      </c>
      <c r="M1078" s="41"/>
      <c r="N1078" s="172"/>
      <c r="P1078" s="42"/>
      <c r="Q1078" s="30">
        <v>16</v>
      </c>
      <c r="R1078" s="41">
        <v>0</v>
      </c>
      <c r="S1078" s="41">
        <v>0</v>
      </c>
      <c r="T1078" s="41"/>
      <c r="U1078" s="172"/>
      <c r="W1078" s="42"/>
      <c r="X1078" s="30">
        <v>16</v>
      </c>
      <c r="Y1078" s="41">
        <v>0</v>
      </c>
      <c r="Z1078" s="41">
        <v>0</v>
      </c>
      <c r="AA1078" s="41"/>
      <c r="AB1078" s="172"/>
      <c r="AD1078" s="42"/>
      <c r="AE1078" s="30">
        <v>16</v>
      </c>
      <c r="AF1078" s="41">
        <v>0</v>
      </c>
      <c r="AG1078" s="41">
        <v>0</v>
      </c>
      <c r="AH1078" s="41"/>
      <c r="AI1078" s="172"/>
      <c r="AK1078" s="42"/>
      <c r="AL1078" s="30">
        <v>16</v>
      </c>
      <c r="AM1078" s="41">
        <v>0</v>
      </c>
      <c r="AN1078" s="41">
        <v>0</v>
      </c>
      <c r="AO1078" s="41"/>
      <c r="AP1078" s="172"/>
      <c r="AR1078" s="56" t="s">
        <v>28</v>
      </c>
      <c r="AS1078" s="64">
        <f>AS1077/AU1077*100</f>
        <v>96.280991735537185</v>
      </c>
      <c r="AT1078" s="59">
        <f>AT1077/AU1077*100</f>
        <v>3.71900826446281</v>
      </c>
      <c r="AU1078" s="59"/>
      <c r="AV1078" s="59"/>
    </row>
    <row r="1079" spans="2:48" x14ac:dyDescent="0.25">
      <c r="B1079" s="47"/>
      <c r="C1079" s="30" t="s">
        <v>94</v>
      </c>
      <c r="D1079" s="41">
        <v>0</v>
      </c>
      <c r="E1079" s="31">
        <v>5</v>
      </c>
      <c r="F1079" s="41" t="s">
        <v>470</v>
      </c>
      <c r="G1079" s="121"/>
      <c r="I1079" s="47"/>
      <c r="J1079" s="30" t="s">
        <v>94</v>
      </c>
      <c r="K1079" s="41">
        <v>0</v>
      </c>
      <c r="L1079" s="31">
        <v>1</v>
      </c>
      <c r="M1079" s="41" t="s">
        <v>467</v>
      </c>
      <c r="N1079" s="115"/>
      <c r="P1079" s="47"/>
      <c r="Q1079" s="30" t="s">
        <v>94</v>
      </c>
      <c r="R1079" s="41">
        <v>0</v>
      </c>
      <c r="S1079" s="41">
        <v>0</v>
      </c>
      <c r="T1079" s="41"/>
      <c r="U1079" s="115"/>
      <c r="W1079" s="47"/>
      <c r="X1079" s="30" t="s">
        <v>94</v>
      </c>
      <c r="Y1079" s="41">
        <v>0</v>
      </c>
      <c r="Z1079" s="41">
        <v>0</v>
      </c>
      <c r="AA1079" s="41"/>
      <c r="AB1079" s="115"/>
      <c r="AD1079" s="47"/>
      <c r="AE1079" s="30" t="s">
        <v>94</v>
      </c>
      <c r="AF1079" s="41">
        <v>0</v>
      </c>
      <c r="AG1079" s="41">
        <v>0</v>
      </c>
      <c r="AH1079" s="41"/>
      <c r="AI1079" s="115"/>
      <c r="AK1079" s="47"/>
      <c r="AL1079" s="30" t="s">
        <v>94</v>
      </c>
      <c r="AM1079" s="41">
        <v>0</v>
      </c>
      <c r="AN1079" s="41">
        <v>0</v>
      </c>
      <c r="AO1079" s="41"/>
      <c r="AP1079" s="115"/>
    </row>
    <row r="1080" spans="2:48" ht="15.75" thickBot="1" x14ac:dyDescent="0.3">
      <c r="B1080" s="476"/>
      <c r="C1080" s="477"/>
      <c r="D1080" s="478">
        <v>164</v>
      </c>
      <c r="E1080" s="478">
        <v>7</v>
      </c>
      <c r="F1080" s="478"/>
      <c r="G1080" s="479">
        <v>171</v>
      </c>
      <c r="I1080" s="476"/>
      <c r="J1080" s="477"/>
      <c r="K1080" s="478">
        <v>33</v>
      </c>
      <c r="L1080" s="478">
        <v>1</v>
      </c>
      <c r="M1080" s="478"/>
      <c r="N1080" s="479">
        <v>34</v>
      </c>
      <c r="P1080" s="476"/>
      <c r="Q1080" s="477"/>
      <c r="R1080" s="478">
        <v>10</v>
      </c>
      <c r="S1080" s="478">
        <v>0</v>
      </c>
      <c r="T1080" s="478"/>
      <c r="U1080" s="479">
        <v>10</v>
      </c>
      <c r="W1080" s="476"/>
      <c r="X1080" s="477"/>
      <c r="Y1080" s="478">
        <v>10</v>
      </c>
      <c r="Z1080" s="478">
        <v>0</v>
      </c>
      <c r="AA1080" s="478"/>
      <c r="AB1080" s="479">
        <v>10</v>
      </c>
      <c r="AD1080" s="476"/>
      <c r="AE1080" s="477"/>
      <c r="AF1080" s="478">
        <v>9</v>
      </c>
      <c r="AG1080" s="478">
        <v>1</v>
      </c>
      <c r="AH1080" s="478"/>
      <c r="AI1080" s="479">
        <v>10</v>
      </c>
      <c r="AK1080" s="476"/>
      <c r="AL1080" s="477"/>
      <c r="AM1080" s="478">
        <v>7</v>
      </c>
      <c r="AN1080" s="478">
        <v>0</v>
      </c>
      <c r="AO1080" s="478"/>
      <c r="AP1080" s="479">
        <v>7</v>
      </c>
    </row>
    <row r="1081" spans="2:48" x14ac:dyDescent="0.25">
      <c r="C1081" s="78"/>
      <c r="J1081" s="78"/>
      <c r="Q1081" s="78"/>
      <c r="X1081" s="78"/>
      <c r="AE1081" s="78"/>
      <c r="AL1081" s="78"/>
    </row>
    <row r="1082" spans="2:48" ht="19.5" thickBot="1" x14ac:dyDescent="0.35">
      <c r="B1082" s="9" t="s">
        <v>471</v>
      </c>
      <c r="C1082" s="78"/>
      <c r="D1082" s="12"/>
      <c r="I1082" s="9" t="s">
        <v>471</v>
      </c>
      <c r="J1082" s="78"/>
      <c r="P1082" s="9" t="s">
        <v>471</v>
      </c>
      <c r="Q1082" s="78"/>
      <c r="W1082" s="9" t="s">
        <v>471</v>
      </c>
      <c r="X1082" s="78"/>
      <c r="AD1082" s="9" t="s">
        <v>471</v>
      </c>
      <c r="AE1082" s="78"/>
      <c r="AK1082" s="9" t="s">
        <v>472</v>
      </c>
      <c r="AL1082" s="78"/>
      <c r="AR1082" s="9" t="s">
        <v>473</v>
      </c>
    </row>
    <row r="1083" spans="2:48" ht="30" x14ac:dyDescent="0.25">
      <c r="B1083" s="20" t="s">
        <v>22</v>
      </c>
      <c r="C1083" s="21" t="s">
        <v>23</v>
      </c>
      <c r="D1083" s="21" t="s">
        <v>24</v>
      </c>
      <c r="E1083" s="21" t="s">
        <v>25</v>
      </c>
      <c r="F1083" s="22" t="s">
        <v>26</v>
      </c>
      <c r="G1083" s="23" t="s">
        <v>27</v>
      </c>
      <c r="I1083" s="20" t="s">
        <v>22</v>
      </c>
      <c r="J1083" s="21" t="s">
        <v>23</v>
      </c>
      <c r="K1083" s="21" t="s">
        <v>24</v>
      </c>
      <c r="L1083" s="21" t="s">
        <v>25</v>
      </c>
      <c r="M1083" s="22" t="s">
        <v>26</v>
      </c>
      <c r="N1083" s="23" t="s">
        <v>27</v>
      </c>
      <c r="P1083" s="20" t="s">
        <v>22</v>
      </c>
      <c r="Q1083" s="21" t="s">
        <v>23</v>
      </c>
      <c r="R1083" s="21" t="s">
        <v>24</v>
      </c>
      <c r="S1083" s="21" t="s">
        <v>25</v>
      </c>
      <c r="T1083" s="22" t="s">
        <v>26</v>
      </c>
      <c r="U1083" s="23" t="s">
        <v>27</v>
      </c>
      <c r="W1083" s="20" t="s">
        <v>22</v>
      </c>
      <c r="X1083" s="21" t="s">
        <v>23</v>
      </c>
      <c r="Y1083" s="21" t="s">
        <v>24</v>
      </c>
      <c r="Z1083" s="21" t="s">
        <v>25</v>
      </c>
      <c r="AA1083" s="22" t="s">
        <v>26</v>
      </c>
      <c r="AB1083" s="23" t="s">
        <v>27</v>
      </c>
      <c r="AD1083" s="20" t="s">
        <v>22</v>
      </c>
      <c r="AE1083" s="21" t="s">
        <v>23</v>
      </c>
      <c r="AF1083" s="21" t="s">
        <v>24</v>
      </c>
      <c r="AG1083" s="21" t="s">
        <v>25</v>
      </c>
      <c r="AH1083" s="22" t="s">
        <v>26</v>
      </c>
      <c r="AI1083" s="23" t="s">
        <v>27</v>
      </c>
      <c r="AK1083" s="20" t="s">
        <v>22</v>
      </c>
      <c r="AL1083" s="21" t="s">
        <v>23</v>
      </c>
      <c r="AM1083" s="21" t="s">
        <v>24</v>
      </c>
      <c r="AN1083" s="21" t="s">
        <v>25</v>
      </c>
      <c r="AO1083" s="22" t="s">
        <v>26</v>
      </c>
      <c r="AP1083" s="23" t="s">
        <v>27</v>
      </c>
      <c r="AR1083" s="25"/>
      <c r="AS1083" s="26" t="s">
        <v>24</v>
      </c>
      <c r="AT1083" s="27" t="s">
        <v>25</v>
      </c>
      <c r="AU1083" s="27" t="s">
        <v>27</v>
      </c>
      <c r="AV1083" s="28" t="s">
        <v>28</v>
      </c>
    </row>
    <row r="1084" spans="2:48" x14ac:dyDescent="0.25">
      <c r="B1084" s="60" t="s">
        <v>29</v>
      </c>
      <c r="C1084" s="48" t="s">
        <v>474</v>
      </c>
      <c r="D1084" s="58">
        <v>164</v>
      </c>
      <c r="E1084" s="132">
        <v>3</v>
      </c>
      <c r="F1084" s="114" t="s">
        <v>475</v>
      </c>
      <c r="G1084" s="118">
        <v>167</v>
      </c>
      <c r="I1084" s="60" t="s">
        <v>29</v>
      </c>
      <c r="J1084" s="48" t="s">
        <v>474</v>
      </c>
      <c r="K1084" s="58">
        <v>34</v>
      </c>
      <c r="L1084" s="59">
        <v>0</v>
      </c>
      <c r="M1084" s="59"/>
      <c r="N1084" s="118">
        <v>34</v>
      </c>
      <c r="P1084" s="60" t="s">
        <v>29</v>
      </c>
      <c r="Q1084" s="48" t="s">
        <v>474</v>
      </c>
      <c r="R1084" s="58">
        <v>10</v>
      </c>
      <c r="S1084" s="59">
        <v>0</v>
      </c>
      <c r="T1084" s="59"/>
      <c r="U1084" s="118">
        <v>10</v>
      </c>
      <c r="W1084" s="60" t="s">
        <v>29</v>
      </c>
      <c r="X1084" s="48" t="s">
        <v>474</v>
      </c>
      <c r="Y1084" s="58">
        <v>10</v>
      </c>
      <c r="Z1084" s="59">
        <v>0</v>
      </c>
      <c r="AA1084" s="59"/>
      <c r="AB1084" s="118">
        <v>10</v>
      </c>
      <c r="AD1084" s="60" t="s">
        <v>29</v>
      </c>
      <c r="AE1084" s="48" t="s">
        <v>474</v>
      </c>
      <c r="AF1084" s="58">
        <v>10</v>
      </c>
      <c r="AG1084" s="59">
        <v>0</v>
      </c>
      <c r="AH1084" s="59"/>
      <c r="AI1084" s="118">
        <v>10</v>
      </c>
      <c r="AK1084" s="60" t="s">
        <v>29</v>
      </c>
      <c r="AL1084" s="48" t="s">
        <v>474</v>
      </c>
      <c r="AM1084" s="58">
        <v>5</v>
      </c>
      <c r="AN1084" s="132" t="s">
        <v>476</v>
      </c>
      <c r="AO1084" s="59" t="s">
        <v>477</v>
      </c>
      <c r="AP1084" s="118">
        <v>7</v>
      </c>
      <c r="AR1084" s="38" t="s">
        <v>29</v>
      </c>
      <c r="AS1084" s="39">
        <v>233</v>
      </c>
      <c r="AT1084" s="40">
        <v>5</v>
      </c>
      <c r="AU1084" s="32">
        <f>SUM(AS1084,AT1084)</f>
        <v>238</v>
      </c>
      <c r="AV1084" s="41">
        <f>AU1084/AU1086*100</f>
        <v>98.347107438016536</v>
      </c>
    </row>
    <row r="1085" spans="2:48" x14ac:dyDescent="0.25">
      <c r="B1085" s="29" t="s">
        <v>32</v>
      </c>
      <c r="C1085" s="481">
        <v>16</v>
      </c>
      <c r="D1085" s="41">
        <v>0</v>
      </c>
      <c r="E1085" s="31">
        <v>3</v>
      </c>
      <c r="F1085" s="41" t="s">
        <v>475</v>
      </c>
      <c r="G1085" s="120">
        <v>4</v>
      </c>
      <c r="I1085" s="29" t="s">
        <v>32</v>
      </c>
      <c r="J1085" s="481">
        <v>16</v>
      </c>
      <c r="K1085" s="41">
        <v>0</v>
      </c>
      <c r="L1085" s="41">
        <v>0</v>
      </c>
      <c r="M1085" s="41"/>
      <c r="N1085" s="109">
        <v>0</v>
      </c>
      <c r="P1085" s="29" t="s">
        <v>32</v>
      </c>
      <c r="Q1085" s="481">
        <v>16</v>
      </c>
      <c r="R1085" s="41">
        <v>0</v>
      </c>
      <c r="S1085" s="41">
        <v>0</v>
      </c>
      <c r="T1085" s="41"/>
      <c r="U1085" s="109">
        <v>0</v>
      </c>
      <c r="W1085" s="29" t="s">
        <v>32</v>
      </c>
      <c r="X1085" s="481">
        <v>16</v>
      </c>
      <c r="Y1085" s="41">
        <v>0</v>
      </c>
      <c r="Z1085" s="41">
        <v>0</v>
      </c>
      <c r="AA1085" s="41"/>
      <c r="AB1085" s="109">
        <v>0</v>
      </c>
      <c r="AD1085" s="29" t="s">
        <v>32</v>
      </c>
      <c r="AE1085" s="481">
        <v>16</v>
      </c>
      <c r="AF1085" s="41">
        <v>0</v>
      </c>
      <c r="AG1085" s="41">
        <v>0</v>
      </c>
      <c r="AH1085" s="41"/>
      <c r="AI1085" s="109">
        <v>0</v>
      </c>
      <c r="AK1085" s="29" t="s">
        <v>32</v>
      </c>
      <c r="AL1085" s="481">
        <v>16</v>
      </c>
      <c r="AM1085" s="41">
        <v>0</v>
      </c>
      <c r="AN1085" s="41">
        <v>0</v>
      </c>
      <c r="AO1085" s="41"/>
      <c r="AP1085" s="109">
        <v>0</v>
      </c>
      <c r="AR1085" s="56" t="s">
        <v>32</v>
      </c>
      <c r="AS1085" s="57">
        <v>1</v>
      </c>
      <c r="AT1085" s="58">
        <v>3</v>
      </c>
      <c r="AU1085" s="50">
        <f>SUM(AS1085,AT1085)</f>
        <v>4</v>
      </c>
      <c r="AV1085" s="59">
        <f>AU1085/AU1086*100</f>
        <v>1.6528925619834711</v>
      </c>
    </row>
    <row r="1086" spans="2:48" x14ac:dyDescent="0.25">
      <c r="B1086" s="42"/>
      <c r="C1086" s="30">
        <v>32</v>
      </c>
      <c r="D1086" s="40">
        <v>1</v>
      </c>
      <c r="E1086" s="41">
        <v>0</v>
      </c>
      <c r="F1086" s="41"/>
      <c r="G1086" s="135"/>
      <c r="I1086" s="42"/>
      <c r="J1086" s="30">
        <v>32</v>
      </c>
      <c r="K1086" s="41">
        <v>0</v>
      </c>
      <c r="L1086" s="41">
        <v>0</v>
      </c>
      <c r="M1086" s="41"/>
      <c r="N1086" s="172"/>
      <c r="P1086" s="42"/>
      <c r="Q1086" s="30">
        <v>32</v>
      </c>
      <c r="R1086" s="41">
        <v>0</v>
      </c>
      <c r="S1086" s="41">
        <v>0</v>
      </c>
      <c r="T1086" s="41"/>
      <c r="U1086" s="172"/>
      <c r="W1086" s="42"/>
      <c r="X1086" s="30">
        <v>32</v>
      </c>
      <c r="Y1086" s="41">
        <v>0</v>
      </c>
      <c r="Z1086" s="41">
        <v>0</v>
      </c>
      <c r="AA1086" s="41"/>
      <c r="AB1086" s="172"/>
      <c r="AD1086" s="42"/>
      <c r="AE1086" s="30">
        <v>32</v>
      </c>
      <c r="AF1086" s="41">
        <v>0</v>
      </c>
      <c r="AG1086" s="41">
        <v>0</v>
      </c>
      <c r="AH1086" s="41"/>
      <c r="AI1086" s="172"/>
      <c r="AK1086" s="42"/>
      <c r="AL1086" s="30">
        <v>32</v>
      </c>
      <c r="AM1086" s="41">
        <v>0</v>
      </c>
      <c r="AN1086" s="41">
        <v>0</v>
      </c>
      <c r="AO1086" s="41"/>
      <c r="AP1086" s="172"/>
      <c r="AR1086" s="56" t="s">
        <v>27</v>
      </c>
      <c r="AS1086" s="64">
        <f>SUM(AS1084,AS1085)</f>
        <v>234</v>
      </c>
      <c r="AT1086" s="50">
        <f>SUM(AT1084,AT1085)</f>
        <v>8</v>
      </c>
      <c r="AU1086" s="50">
        <f>SUM(AS1084:AT1085)</f>
        <v>242</v>
      </c>
      <c r="AV1086" s="59"/>
    </row>
    <row r="1087" spans="2:48" x14ac:dyDescent="0.25">
      <c r="B1087" s="42"/>
      <c r="C1087" s="30">
        <v>64</v>
      </c>
      <c r="D1087" s="41">
        <v>0</v>
      </c>
      <c r="E1087" s="41">
        <v>0</v>
      </c>
      <c r="F1087" s="41"/>
      <c r="G1087" s="135"/>
      <c r="I1087" s="42"/>
      <c r="J1087" s="30">
        <v>64</v>
      </c>
      <c r="K1087" s="41">
        <v>0</v>
      </c>
      <c r="L1087" s="41">
        <v>0</v>
      </c>
      <c r="M1087" s="41"/>
      <c r="N1087" s="172"/>
      <c r="P1087" s="42"/>
      <c r="Q1087" s="30">
        <v>64</v>
      </c>
      <c r="R1087" s="41">
        <v>0</v>
      </c>
      <c r="S1087" s="41">
        <v>0</v>
      </c>
      <c r="T1087" s="41"/>
      <c r="U1087" s="172"/>
      <c r="W1087" s="42"/>
      <c r="X1087" s="30">
        <v>64</v>
      </c>
      <c r="Y1087" s="41">
        <v>0</v>
      </c>
      <c r="Z1087" s="41">
        <v>0</v>
      </c>
      <c r="AA1087" s="41"/>
      <c r="AB1087" s="172"/>
      <c r="AD1087" s="42"/>
      <c r="AE1087" s="30">
        <v>64</v>
      </c>
      <c r="AF1087" s="41">
        <v>0</v>
      </c>
      <c r="AG1087" s="41">
        <v>0</v>
      </c>
      <c r="AH1087" s="41"/>
      <c r="AI1087" s="172"/>
      <c r="AK1087" s="42"/>
      <c r="AL1087" s="30">
        <v>64</v>
      </c>
      <c r="AM1087" s="41">
        <v>0</v>
      </c>
      <c r="AN1087" s="41">
        <v>0</v>
      </c>
      <c r="AO1087" s="41"/>
      <c r="AP1087" s="172"/>
      <c r="AR1087" s="56" t="s">
        <v>28</v>
      </c>
      <c r="AS1087" s="64">
        <f>AS1086/AU1086*100</f>
        <v>96.694214876033058</v>
      </c>
      <c r="AT1087" s="59">
        <f>AT1086/AU1086*100</f>
        <v>3.3057851239669422</v>
      </c>
      <c r="AU1087" s="59"/>
      <c r="AV1087" s="59"/>
    </row>
    <row r="1088" spans="2:48" x14ac:dyDescent="0.25">
      <c r="B1088" s="47"/>
      <c r="C1088" s="30" t="s">
        <v>407</v>
      </c>
      <c r="D1088" s="41">
        <v>0</v>
      </c>
      <c r="E1088" s="41">
        <v>0</v>
      </c>
      <c r="F1088" s="41"/>
      <c r="G1088" s="121"/>
      <c r="I1088" s="47"/>
      <c r="J1088" s="30" t="s">
        <v>407</v>
      </c>
      <c r="K1088" s="41">
        <v>0</v>
      </c>
      <c r="L1088" s="41">
        <v>0</v>
      </c>
      <c r="M1088" s="41"/>
      <c r="N1088" s="115"/>
      <c r="P1088" s="47"/>
      <c r="Q1088" s="30" t="s">
        <v>407</v>
      </c>
      <c r="R1088" s="41">
        <v>0</v>
      </c>
      <c r="S1088" s="41">
        <v>0</v>
      </c>
      <c r="T1088" s="41"/>
      <c r="U1088" s="115"/>
      <c r="W1088" s="47"/>
      <c r="X1088" s="30" t="s">
        <v>407</v>
      </c>
      <c r="Y1088" s="41">
        <v>0</v>
      </c>
      <c r="Z1088" s="41">
        <v>0</v>
      </c>
      <c r="AA1088" s="41"/>
      <c r="AB1088" s="115"/>
      <c r="AD1088" s="47"/>
      <c r="AE1088" s="30" t="s">
        <v>407</v>
      </c>
      <c r="AF1088" s="41">
        <v>0</v>
      </c>
      <c r="AG1088" s="41">
        <v>0</v>
      </c>
      <c r="AH1088" s="41"/>
      <c r="AI1088" s="115"/>
      <c r="AK1088" s="47"/>
      <c r="AL1088" s="30" t="s">
        <v>407</v>
      </c>
      <c r="AM1088" s="41">
        <v>0</v>
      </c>
      <c r="AN1088" s="41">
        <v>0</v>
      </c>
      <c r="AO1088" s="41"/>
      <c r="AP1088" s="115"/>
    </row>
    <row r="1089" spans="2:48" ht="15.75" thickBot="1" x14ac:dyDescent="0.3">
      <c r="B1089" s="476"/>
      <c r="C1089" s="477"/>
      <c r="D1089" s="478">
        <v>165</v>
      </c>
      <c r="E1089" s="478">
        <v>6</v>
      </c>
      <c r="F1089" s="478"/>
      <c r="G1089" s="479">
        <v>171</v>
      </c>
      <c r="I1089" s="476"/>
      <c r="J1089" s="477"/>
      <c r="K1089" s="478">
        <v>34</v>
      </c>
      <c r="L1089" s="478">
        <v>0</v>
      </c>
      <c r="M1089" s="478"/>
      <c r="N1089" s="479">
        <v>34</v>
      </c>
      <c r="P1089" s="476"/>
      <c r="Q1089" s="477"/>
      <c r="R1089" s="478">
        <v>10</v>
      </c>
      <c r="S1089" s="478">
        <v>0</v>
      </c>
      <c r="T1089" s="478"/>
      <c r="U1089" s="479">
        <v>10</v>
      </c>
      <c r="W1089" s="476"/>
      <c r="X1089" s="477"/>
      <c r="Y1089" s="478">
        <v>10</v>
      </c>
      <c r="Z1089" s="478">
        <v>0</v>
      </c>
      <c r="AA1089" s="478"/>
      <c r="AB1089" s="479">
        <v>10</v>
      </c>
      <c r="AD1089" s="476"/>
      <c r="AE1089" s="477"/>
      <c r="AF1089" s="478">
        <v>10</v>
      </c>
      <c r="AG1089" s="478">
        <v>0</v>
      </c>
      <c r="AH1089" s="478"/>
      <c r="AI1089" s="479">
        <v>10</v>
      </c>
      <c r="AK1089" s="476"/>
      <c r="AL1089" s="477"/>
      <c r="AM1089" s="478">
        <v>5</v>
      </c>
      <c r="AN1089" s="478">
        <v>2</v>
      </c>
      <c r="AO1089" s="478"/>
      <c r="AP1089" s="479">
        <v>7</v>
      </c>
    </row>
    <row r="1090" spans="2:48" x14ac:dyDescent="0.25">
      <c r="C1090" s="78"/>
      <c r="J1090" s="78"/>
      <c r="Q1090" s="78"/>
      <c r="X1090" s="78"/>
      <c r="AE1090" s="78"/>
      <c r="AL1090" s="78"/>
    </row>
    <row r="1091" spans="2:48" ht="19.5" thickBot="1" x14ac:dyDescent="0.35">
      <c r="B1091" s="9" t="s">
        <v>478</v>
      </c>
      <c r="C1091" s="78"/>
      <c r="D1091" s="12"/>
      <c r="I1091" s="9" t="s">
        <v>478</v>
      </c>
      <c r="J1091" s="78"/>
      <c r="P1091" s="9" t="s">
        <v>478</v>
      </c>
      <c r="Q1091" s="78"/>
      <c r="W1091" s="9" t="s">
        <v>478</v>
      </c>
      <c r="X1091" s="78"/>
      <c r="AD1091" s="489" t="s">
        <v>479</v>
      </c>
      <c r="AE1091" s="491"/>
      <c r="AF1091" s="490"/>
      <c r="AG1091" s="490"/>
      <c r="AH1091" s="490"/>
      <c r="AI1091" s="490"/>
      <c r="AK1091" s="9" t="s">
        <v>480</v>
      </c>
      <c r="AL1091" s="78"/>
      <c r="AR1091" s="9" t="s">
        <v>481</v>
      </c>
    </row>
    <row r="1092" spans="2:48" ht="30" x14ac:dyDescent="0.25">
      <c r="B1092" s="20" t="s">
        <v>22</v>
      </c>
      <c r="C1092" s="21" t="s">
        <v>23</v>
      </c>
      <c r="D1092" s="21" t="s">
        <v>24</v>
      </c>
      <c r="E1092" s="21" t="s">
        <v>25</v>
      </c>
      <c r="F1092" s="22" t="s">
        <v>26</v>
      </c>
      <c r="G1092" s="23" t="s">
        <v>27</v>
      </c>
      <c r="I1092" s="20" t="s">
        <v>22</v>
      </c>
      <c r="J1092" s="21" t="s">
        <v>23</v>
      </c>
      <c r="K1092" s="21" t="s">
        <v>24</v>
      </c>
      <c r="L1092" s="21" t="s">
        <v>25</v>
      </c>
      <c r="M1092" s="22" t="s">
        <v>26</v>
      </c>
      <c r="N1092" s="23" t="s">
        <v>27</v>
      </c>
      <c r="P1092" s="20" t="s">
        <v>22</v>
      </c>
      <c r="Q1092" s="21" t="s">
        <v>23</v>
      </c>
      <c r="R1092" s="21" t="s">
        <v>24</v>
      </c>
      <c r="S1092" s="21" t="s">
        <v>25</v>
      </c>
      <c r="T1092" s="22" t="s">
        <v>26</v>
      </c>
      <c r="U1092" s="23" t="s">
        <v>27</v>
      </c>
      <c r="W1092" s="20" t="s">
        <v>22</v>
      </c>
      <c r="X1092" s="21" t="s">
        <v>23</v>
      </c>
      <c r="Y1092" s="21" t="s">
        <v>24</v>
      </c>
      <c r="Z1092" s="21" t="s">
        <v>25</v>
      </c>
      <c r="AA1092" s="22" t="s">
        <v>26</v>
      </c>
      <c r="AB1092" s="23" t="s">
        <v>27</v>
      </c>
      <c r="AD1092" s="20" t="s">
        <v>22</v>
      </c>
      <c r="AE1092" s="21" t="s">
        <v>23</v>
      </c>
      <c r="AF1092" s="21" t="s">
        <v>24</v>
      </c>
      <c r="AG1092" s="21" t="s">
        <v>25</v>
      </c>
      <c r="AH1092" s="22" t="s">
        <v>26</v>
      </c>
      <c r="AI1092" s="23" t="s">
        <v>27</v>
      </c>
      <c r="AK1092" s="20" t="s">
        <v>22</v>
      </c>
      <c r="AL1092" s="21" t="s">
        <v>23</v>
      </c>
      <c r="AM1092" s="21" t="s">
        <v>24</v>
      </c>
      <c r="AN1092" s="21" t="s">
        <v>25</v>
      </c>
      <c r="AO1092" s="22" t="s">
        <v>26</v>
      </c>
      <c r="AP1092" s="23" t="s">
        <v>27</v>
      </c>
      <c r="AR1092" s="25"/>
      <c r="AS1092" s="26" t="s">
        <v>24</v>
      </c>
      <c r="AT1092" s="27" t="s">
        <v>25</v>
      </c>
      <c r="AU1092" s="27" t="s">
        <v>27</v>
      </c>
      <c r="AV1092" s="28" t="s">
        <v>28</v>
      </c>
    </row>
    <row r="1093" spans="2:48" x14ac:dyDescent="0.25">
      <c r="B1093" s="29" t="s">
        <v>29</v>
      </c>
      <c r="C1093" s="30" t="s">
        <v>39</v>
      </c>
      <c r="D1093" s="41">
        <v>0</v>
      </c>
      <c r="E1093" s="41">
        <v>0</v>
      </c>
      <c r="F1093" s="41"/>
      <c r="G1093" s="120">
        <v>171</v>
      </c>
      <c r="I1093" s="29" t="s">
        <v>29</v>
      </c>
      <c r="J1093" s="30" t="s">
        <v>39</v>
      </c>
      <c r="K1093" s="41">
        <v>0</v>
      </c>
      <c r="L1093" s="41">
        <v>0</v>
      </c>
      <c r="M1093" s="41"/>
      <c r="N1093" s="109">
        <v>34</v>
      </c>
      <c r="P1093" s="29" t="s">
        <v>29</v>
      </c>
      <c r="Q1093" s="30" t="s">
        <v>39</v>
      </c>
      <c r="R1093" s="41">
        <v>0</v>
      </c>
      <c r="S1093" s="41">
        <v>0</v>
      </c>
      <c r="T1093" s="41"/>
      <c r="U1093" s="109">
        <v>7</v>
      </c>
      <c r="W1093" s="29" t="s">
        <v>29</v>
      </c>
      <c r="X1093" s="30" t="s">
        <v>39</v>
      </c>
      <c r="Y1093" s="41">
        <v>0</v>
      </c>
      <c r="Z1093" s="41">
        <v>0</v>
      </c>
      <c r="AA1093" s="41"/>
      <c r="AB1093" s="109">
        <v>10</v>
      </c>
      <c r="AD1093" s="492"/>
      <c r="AE1093" s="491" t="s">
        <v>39</v>
      </c>
      <c r="AF1093" s="490"/>
      <c r="AG1093" s="490"/>
      <c r="AH1093" s="490"/>
      <c r="AI1093" s="493"/>
      <c r="AK1093" s="29" t="s">
        <v>29</v>
      </c>
      <c r="AL1093" s="30" t="s">
        <v>39</v>
      </c>
      <c r="AM1093" s="41">
        <v>0</v>
      </c>
      <c r="AN1093" s="41">
        <v>0</v>
      </c>
      <c r="AO1093" s="41"/>
      <c r="AP1093" s="109">
        <v>4</v>
      </c>
      <c r="AR1093" s="38" t="s">
        <v>29</v>
      </c>
      <c r="AS1093" s="39">
        <v>224</v>
      </c>
      <c r="AT1093" s="40">
        <v>2</v>
      </c>
      <c r="AU1093" s="32">
        <f>SUM(AS1093,AT1093)</f>
        <v>226</v>
      </c>
      <c r="AV1093" s="41">
        <f>AU1093/AU1095*100</f>
        <v>98.689956331877724</v>
      </c>
    </row>
    <row r="1094" spans="2:48" x14ac:dyDescent="0.25">
      <c r="B1094" s="42"/>
      <c r="C1094" s="481">
        <v>0.25</v>
      </c>
      <c r="D1094" s="31">
        <v>56</v>
      </c>
      <c r="E1094" s="40">
        <v>2</v>
      </c>
      <c r="F1094" s="119" t="s">
        <v>482</v>
      </c>
      <c r="G1094" s="135"/>
      <c r="I1094" s="42"/>
      <c r="J1094" s="481">
        <v>0.25</v>
      </c>
      <c r="K1094" s="41">
        <v>0</v>
      </c>
      <c r="L1094" s="41">
        <v>0</v>
      </c>
      <c r="M1094" s="41"/>
      <c r="N1094" s="172"/>
      <c r="P1094" s="42"/>
      <c r="Q1094" s="481">
        <v>0.25</v>
      </c>
      <c r="R1094" s="41">
        <v>0</v>
      </c>
      <c r="S1094" s="41">
        <v>0</v>
      </c>
      <c r="T1094" s="41"/>
      <c r="U1094" s="172"/>
      <c r="W1094" s="42"/>
      <c r="X1094" s="481">
        <v>0.25</v>
      </c>
      <c r="Y1094" s="31">
        <v>2</v>
      </c>
      <c r="Z1094" s="41">
        <v>0</v>
      </c>
      <c r="AA1094" s="41"/>
      <c r="AB1094" s="172"/>
      <c r="AD1094" s="492"/>
      <c r="AE1094" s="494">
        <v>0.25</v>
      </c>
      <c r="AF1094" s="490"/>
      <c r="AG1094" s="490"/>
      <c r="AH1094" s="490"/>
      <c r="AI1094" s="493"/>
      <c r="AK1094" s="42"/>
      <c r="AL1094" s="481">
        <v>0.25</v>
      </c>
      <c r="AM1094" s="41">
        <v>0</v>
      </c>
      <c r="AN1094" s="41">
        <v>0</v>
      </c>
      <c r="AO1094" s="41"/>
      <c r="AP1094" s="172"/>
      <c r="AR1094" s="56" t="s">
        <v>32</v>
      </c>
      <c r="AS1094" s="57">
        <v>3</v>
      </c>
      <c r="AT1094" s="58">
        <v>0</v>
      </c>
      <c r="AU1094" s="50">
        <f>SUM(AS1094,AT1094)</f>
        <v>3</v>
      </c>
      <c r="AV1094" s="59">
        <f>AU1094/AU1095*100</f>
        <v>1.3100436681222707</v>
      </c>
    </row>
    <row r="1095" spans="2:48" x14ac:dyDescent="0.25">
      <c r="B1095" s="42"/>
      <c r="C1095" s="30">
        <v>0.5</v>
      </c>
      <c r="D1095" s="31">
        <v>111</v>
      </c>
      <c r="E1095" s="41">
        <v>0</v>
      </c>
      <c r="F1095" s="41"/>
      <c r="G1095" s="135"/>
      <c r="I1095" s="42"/>
      <c r="J1095" s="30">
        <v>0.5</v>
      </c>
      <c r="K1095" s="31">
        <v>32</v>
      </c>
      <c r="L1095" s="41">
        <v>0</v>
      </c>
      <c r="M1095" s="41"/>
      <c r="N1095" s="172"/>
      <c r="P1095" s="42"/>
      <c r="Q1095" s="30">
        <v>0.5</v>
      </c>
      <c r="R1095" s="31">
        <v>6</v>
      </c>
      <c r="S1095" s="41">
        <v>0</v>
      </c>
      <c r="T1095" s="41"/>
      <c r="U1095" s="172"/>
      <c r="W1095" s="42"/>
      <c r="X1095" s="30">
        <v>0.5</v>
      </c>
      <c r="Y1095" s="31">
        <v>7</v>
      </c>
      <c r="Z1095" s="41">
        <v>0</v>
      </c>
      <c r="AA1095" s="41"/>
      <c r="AB1095" s="172"/>
      <c r="AD1095" s="492"/>
      <c r="AE1095" s="491">
        <v>0.5</v>
      </c>
      <c r="AF1095" s="490"/>
      <c r="AG1095" s="490"/>
      <c r="AH1095" s="490"/>
      <c r="AI1095" s="493"/>
      <c r="AK1095" s="42"/>
      <c r="AL1095" s="30">
        <v>0.5</v>
      </c>
      <c r="AM1095" s="31">
        <v>1</v>
      </c>
      <c r="AN1095" s="41">
        <v>0</v>
      </c>
      <c r="AO1095" s="41"/>
      <c r="AP1095" s="172"/>
      <c r="AR1095" s="56" t="s">
        <v>27</v>
      </c>
      <c r="AS1095" s="64">
        <f>SUM(AS1093,AS1094)</f>
        <v>227</v>
      </c>
      <c r="AT1095" s="50">
        <f>SUM(AT1093,AT1094)</f>
        <v>2</v>
      </c>
      <c r="AU1095" s="50">
        <f>SUM(AS1093:AT1094)</f>
        <v>229</v>
      </c>
      <c r="AV1095" s="59"/>
    </row>
    <row r="1096" spans="2:48" x14ac:dyDescent="0.25">
      <c r="B1096" s="42"/>
      <c r="C1096" s="30">
        <v>1</v>
      </c>
      <c r="D1096" s="31">
        <v>2</v>
      </c>
      <c r="E1096" s="41">
        <v>0</v>
      </c>
      <c r="F1096" s="41"/>
      <c r="G1096" s="135"/>
      <c r="I1096" s="42"/>
      <c r="J1096" s="30">
        <v>1</v>
      </c>
      <c r="K1096" s="31">
        <v>2</v>
      </c>
      <c r="L1096" s="41">
        <v>0</v>
      </c>
      <c r="M1096" s="41"/>
      <c r="N1096" s="172"/>
      <c r="P1096" s="42"/>
      <c r="Q1096" s="30">
        <v>1</v>
      </c>
      <c r="R1096" s="41">
        <v>0</v>
      </c>
      <c r="S1096" s="41">
        <v>0</v>
      </c>
      <c r="T1096" s="41"/>
      <c r="U1096" s="172"/>
      <c r="W1096" s="42"/>
      <c r="X1096" s="30">
        <v>1</v>
      </c>
      <c r="Y1096" s="31">
        <v>1</v>
      </c>
      <c r="Z1096" s="41">
        <v>0</v>
      </c>
      <c r="AA1096" s="41"/>
      <c r="AB1096" s="172"/>
      <c r="AD1096" s="492"/>
      <c r="AE1096" s="491">
        <v>1</v>
      </c>
      <c r="AF1096" s="490"/>
      <c r="AG1096" s="490"/>
      <c r="AH1096" s="490"/>
      <c r="AI1096" s="493"/>
      <c r="AK1096" s="42"/>
      <c r="AL1096" s="30">
        <v>1</v>
      </c>
      <c r="AM1096" s="31">
        <v>2</v>
      </c>
      <c r="AN1096" s="41">
        <v>0</v>
      </c>
      <c r="AO1096" s="41"/>
      <c r="AP1096" s="172"/>
      <c r="AR1096" s="56" t="s">
        <v>28</v>
      </c>
      <c r="AS1096" s="64">
        <f>AS1095/AU1095*100</f>
        <v>99.126637554585145</v>
      </c>
      <c r="AT1096" s="59">
        <f>AT1095/AU1095*100</f>
        <v>0.87336244541484709</v>
      </c>
      <c r="AU1096" s="59"/>
      <c r="AV1096" s="59"/>
    </row>
    <row r="1097" spans="2:48" x14ac:dyDescent="0.25">
      <c r="B1097" s="47"/>
      <c r="C1097" s="48">
        <v>2</v>
      </c>
      <c r="D1097" s="59">
        <v>0</v>
      </c>
      <c r="E1097" s="59">
        <v>0</v>
      </c>
      <c r="F1097" s="59"/>
      <c r="G1097" s="121"/>
      <c r="I1097" s="47"/>
      <c r="J1097" s="48">
        <v>2</v>
      </c>
      <c r="K1097" s="59">
        <v>0</v>
      </c>
      <c r="L1097" s="59">
        <v>0</v>
      </c>
      <c r="M1097" s="59"/>
      <c r="N1097" s="115"/>
      <c r="P1097" s="47"/>
      <c r="Q1097" s="48">
        <v>2</v>
      </c>
      <c r="R1097" s="58">
        <v>1</v>
      </c>
      <c r="S1097" s="59">
        <v>0</v>
      </c>
      <c r="T1097" s="59"/>
      <c r="U1097" s="115"/>
      <c r="W1097" s="47"/>
      <c r="X1097" s="48">
        <v>2</v>
      </c>
      <c r="Y1097" s="59">
        <v>0</v>
      </c>
      <c r="Z1097" s="59">
        <v>0</v>
      </c>
      <c r="AA1097" s="59"/>
      <c r="AB1097" s="115"/>
      <c r="AD1097" s="492"/>
      <c r="AE1097" s="491">
        <v>2</v>
      </c>
      <c r="AF1097" s="490"/>
      <c r="AG1097" s="490"/>
      <c r="AH1097" s="490"/>
      <c r="AI1097" s="493"/>
      <c r="AK1097" s="47"/>
      <c r="AL1097" s="48">
        <v>2</v>
      </c>
      <c r="AM1097" s="58">
        <v>1</v>
      </c>
      <c r="AN1097" s="59">
        <v>0</v>
      </c>
      <c r="AO1097" s="59"/>
      <c r="AP1097" s="115"/>
    </row>
    <row r="1098" spans="2:48" x14ac:dyDescent="0.25">
      <c r="B1098" s="29" t="s">
        <v>32</v>
      </c>
      <c r="C1098" s="30">
        <v>4</v>
      </c>
      <c r="D1098" s="41">
        <v>0</v>
      </c>
      <c r="E1098" s="41">
        <v>0</v>
      </c>
      <c r="F1098" s="41"/>
      <c r="G1098" s="120">
        <v>0</v>
      </c>
      <c r="I1098" s="29" t="s">
        <v>32</v>
      </c>
      <c r="J1098" s="30">
        <v>4</v>
      </c>
      <c r="K1098" s="41">
        <v>0</v>
      </c>
      <c r="L1098" s="41">
        <v>0</v>
      </c>
      <c r="M1098" s="41"/>
      <c r="N1098" s="109">
        <v>0</v>
      </c>
      <c r="P1098" s="29" t="s">
        <v>32</v>
      </c>
      <c r="Q1098" s="30">
        <v>4</v>
      </c>
      <c r="R1098" s="41">
        <v>0</v>
      </c>
      <c r="S1098" s="41">
        <v>0</v>
      </c>
      <c r="T1098" s="41"/>
      <c r="U1098" s="109">
        <v>3</v>
      </c>
      <c r="W1098" s="29" t="s">
        <v>32</v>
      </c>
      <c r="X1098" s="30">
        <v>4</v>
      </c>
      <c r="Y1098" s="41">
        <v>0</v>
      </c>
      <c r="Z1098" s="41">
        <v>0</v>
      </c>
      <c r="AA1098" s="41"/>
      <c r="AB1098" s="109">
        <v>0</v>
      </c>
      <c r="AD1098" s="492"/>
      <c r="AE1098" s="491">
        <v>4</v>
      </c>
      <c r="AF1098" s="490"/>
      <c r="AG1098" s="490"/>
      <c r="AH1098" s="490"/>
      <c r="AI1098" s="493"/>
      <c r="AK1098" s="29" t="s">
        <v>32</v>
      </c>
      <c r="AL1098" s="30">
        <v>4</v>
      </c>
      <c r="AM1098" s="41">
        <v>0</v>
      </c>
      <c r="AN1098" s="41">
        <v>0</v>
      </c>
      <c r="AO1098" s="41"/>
      <c r="AP1098" s="109">
        <v>0</v>
      </c>
    </row>
    <row r="1099" spans="2:48" x14ac:dyDescent="0.25">
      <c r="B1099" s="42"/>
      <c r="C1099" s="30">
        <v>8</v>
      </c>
      <c r="D1099" s="41">
        <v>0</v>
      </c>
      <c r="E1099" s="41">
        <v>0</v>
      </c>
      <c r="F1099" s="41"/>
      <c r="G1099" s="135"/>
      <c r="I1099" s="42"/>
      <c r="J1099" s="30">
        <v>8</v>
      </c>
      <c r="K1099" s="41">
        <v>0</v>
      </c>
      <c r="L1099" s="41">
        <v>0</v>
      </c>
      <c r="M1099" s="41"/>
      <c r="N1099" s="172"/>
      <c r="P1099" s="42"/>
      <c r="Q1099" s="30">
        <v>8</v>
      </c>
      <c r="R1099" s="40">
        <v>1</v>
      </c>
      <c r="S1099" s="41">
        <v>0</v>
      </c>
      <c r="T1099" s="41"/>
      <c r="U1099" s="172"/>
      <c r="W1099" s="42"/>
      <c r="X1099" s="30">
        <v>8</v>
      </c>
      <c r="Y1099" s="41">
        <v>0</v>
      </c>
      <c r="Z1099" s="41">
        <v>0</v>
      </c>
      <c r="AA1099" s="41"/>
      <c r="AB1099" s="172"/>
      <c r="AD1099" s="492"/>
      <c r="AE1099" s="491">
        <v>8</v>
      </c>
      <c r="AF1099" s="490"/>
      <c r="AG1099" s="490"/>
      <c r="AH1099" s="490"/>
      <c r="AI1099" s="493"/>
      <c r="AK1099" s="42"/>
      <c r="AL1099" s="30">
        <v>8</v>
      </c>
      <c r="AM1099" s="41">
        <v>0</v>
      </c>
      <c r="AN1099" s="41">
        <v>0</v>
      </c>
      <c r="AO1099" s="41"/>
      <c r="AP1099" s="172"/>
    </row>
    <row r="1100" spans="2:48" x14ac:dyDescent="0.25">
      <c r="B1100" s="42"/>
      <c r="C1100" s="30">
        <v>16</v>
      </c>
      <c r="D1100" s="41">
        <v>0</v>
      </c>
      <c r="E1100" s="41">
        <v>0</v>
      </c>
      <c r="F1100" s="41"/>
      <c r="G1100" s="135"/>
      <c r="I1100" s="42"/>
      <c r="J1100" s="30">
        <v>16</v>
      </c>
      <c r="K1100" s="41">
        <v>0</v>
      </c>
      <c r="L1100" s="41">
        <v>0</v>
      </c>
      <c r="M1100" s="41"/>
      <c r="N1100" s="172"/>
      <c r="P1100" s="42"/>
      <c r="Q1100" s="30">
        <v>16</v>
      </c>
      <c r="R1100" s="40">
        <v>1</v>
      </c>
      <c r="S1100" s="41">
        <v>0</v>
      </c>
      <c r="T1100" s="41"/>
      <c r="U1100" s="172"/>
      <c r="W1100" s="42"/>
      <c r="X1100" s="30">
        <v>16</v>
      </c>
      <c r="Y1100" s="41">
        <v>0</v>
      </c>
      <c r="Z1100" s="41">
        <v>0</v>
      </c>
      <c r="AA1100" s="41"/>
      <c r="AB1100" s="172"/>
      <c r="AD1100" s="492"/>
      <c r="AE1100" s="491">
        <v>16</v>
      </c>
      <c r="AF1100" s="490"/>
      <c r="AG1100" s="490"/>
      <c r="AH1100" s="490"/>
      <c r="AI1100" s="493"/>
      <c r="AK1100" s="42"/>
      <c r="AL1100" s="30">
        <v>16</v>
      </c>
      <c r="AM1100" s="41">
        <v>0</v>
      </c>
      <c r="AN1100" s="41">
        <v>0</v>
      </c>
      <c r="AO1100" s="41"/>
      <c r="AP1100" s="172"/>
    </row>
    <row r="1101" spans="2:48" x14ac:dyDescent="0.25">
      <c r="B1101" s="42"/>
      <c r="C1101" s="481">
        <v>32</v>
      </c>
      <c r="D1101" s="41">
        <v>0</v>
      </c>
      <c r="E1101" s="41">
        <v>0</v>
      </c>
      <c r="F1101" s="41"/>
      <c r="G1101" s="135"/>
      <c r="I1101" s="42"/>
      <c r="J1101" s="481">
        <v>32</v>
      </c>
      <c r="K1101" s="41">
        <v>0</v>
      </c>
      <c r="L1101" s="41">
        <v>0</v>
      </c>
      <c r="M1101" s="41"/>
      <c r="N1101" s="172"/>
      <c r="P1101" s="42"/>
      <c r="Q1101" s="481">
        <v>32</v>
      </c>
      <c r="R1101" s="41">
        <v>0</v>
      </c>
      <c r="S1101" s="41">
        <v>0</v>
      </c>
      <c r="T1101" s="41"/>
      <c r="U1101" s="172"/>
      <c r="W1101" s="42"/>
      <c r="X1101" s="481">
        <v>32</v>
      </c>
      <c r="Y1101" s="41">
        <v>0</v>
      </c>
      <c r="Z1101" s="41">
        <v>0</v>
      </c>
      <c r="AA1101" s="41"/>
      <c r="AB1101" s="172"/>
      <c r="AD1101" s="492"/>
      <c r="AE1101" s="494">
        <v>32</v>
      </c>
      <c r="AF1101" s="490"/>
      <c r="AG1101" s="490"/>
      <c r="AH1101" s="490"/>
      <c r="AI1101" s="493"/>
      <c r="AK1101" s="42"/>
      <c r="AL1101" s="481">
        <v>32</v>
      </c>
      <c r="AM1101" s="41">
        <v>0</v>
      </c>
      <c r="AN1101" s="41">
        <v>0</v>
      </c>
      <c r="AO1101" s="41"/>
      <c r="AP1101" s="172"/>
    </row>
    <row r="1102" spans="2:48" x14ac:dyDescent="0.25">
      <c r="B1102" s="42"/>
      <c r="C1102" s="30">
        <v>64</v>
      </c>
      <c r="D1102" s="41">
        <v>0</v>
      </c>
      <c r="E1102" s="41">
        <v>0</v>
      </c>
      <c r="F1102" s="41"/>
      <c r="G1102" s="135"/>
      <c r="I1102" s="42"/>
      <c r="J1102" s="30">
        <v>64</v>
      </c>
      <c r="K1102" s="41">
        <v>0</v>
      </c>
      <c r="L1102" s="41">
        <v>0</v>
      </c>
      <c r="M1102" s="41"/>
      <c r="N1102" s="172"/>
      <c r="P1102" s="42"/>
      <c r="Q1102" s="30">
        <v>64</v>
      </c>
      <c r="R1102" s="40">
        <v>1</v>
      </c>
      <c r="S1102" s="41">
        <v>0</v>
      </c>
      <c r="T1102" s="41"/>
      <c r="U1102" s="172"/>
      <c r="W1102" s="42"/>
      <c r="X1102" s="30">
        <v>64</v>
      </c>
      <c r="Y1102" s="41">
        <v>0</v>
      </c>
      <c r="Z1102" s="41">
        <v>0</v>
      </c>
      <c r="AA1102" s="41"/>
      <c r="AB1102" s="172"/>
      <c r="AD1102" s="492"/>
      <c r="AE1102" s="491">
        <v>64</v>
      </c>
      <c r="AF1102" s="490"/>
      <c r="AG1102" s="490"/>
      <c r="AH1102" s="490"/>
      <c r="AI1102" s="493"/>
      <c r="AK1102" s="42"/>
      <c r="AL1102" s="30">
        <v>64</v>
      </c>
      <c r="AM1102" s="41">
        <v>0</v>
      </c>
      <c r="AN1102" s="41">
        <v>0</v>
      </c>
      <c r="AO1102" s="41"/>
      <c r="AP1102" s="172"/>
    </row>
    <row r="1103" spans="2:48" x14ac:dyDescent="0.25">
      <c r="B1103" s="42"/>
      <c r="C1103" s="30">
        <v>128</v>
      </c>
      <c r="D1103" s="41">
        <v>0</v>
      </c>
      <c r="E1103" s="41">
        <v>0</v>
      </c>
      <c r="F1103" s="41"/>
      <c r="G1103" s="135"/>
      <c r="I1103" s="42"/>
      <c r="J1103" s="30">
        <v>128</v>
      </c>
      <c r="K1103" s="41">
        <v>0</v>
      </c>
      <c r="L1103" s="41">
        <v>0</v>
      </c>
      <c r="M1103" s="41"/>
      <c r="N1103" s="172"/>
      <c r="P1103" s="42"/>
      <c r="Q1103" s="30">
        <v>128</v>
      </c>
      <c r="R1103" s="41">
        <v>0</v>
      </c>
      <c r="S1103" s="41">
        <v>0</v>
      </c>
      <c r="T1103" s="41"/>
      <c r="U1103" s="172"/>
      <c r="W1103" s="42"/>
      <c r="X1103" s="30">
        <v>128</v>
      </c>
      <c r="Y1103" s="41">
        <v>0</v>
      </c>
      <c r="Z1103" s="41">
        <v>0</v>
      </c>
      <c r="AA1103" s="41"/>
      <c r="AB1103" s="172"/>
      <c r="AD1103" s="492"/>
      <c r="AE1103" s="491">
        <v>128</v>
      </c>
      <c r="AF1103" s="490"/>
      <c r="AG1103" s="490"/>
      <c r="AH1103" s="490"/>
      <c r="AI1103" s="493"/>
      <c r="AK1103" s="42"/>
      <c r="AL1103" s="30">
        <v>128</v>
      </c>
      <c r="AM1103" s="41">
        <v>0</v>
      </c>
      <c r="AN1103" s="41">
        <v>0</v>
      </c>
      <c r="AO1103" s="41"/>
      <c r="AP1103" s="172"/>
    </row>
    <row r="1104" spans="2:48" x14ac:dyDescent="0.25">
      <c r="B1104" s="47"/>
      <c r="C1104" s="30" t="s">
        <v>483</v>
      </c>
      <c r="D1104" s="41">
        <v>0</v>
      </c>
      <c r="E1104" s="41">
        <v>0</v>
      </c>
      <c r="F1104" s="41"/>
      <c r="G1104" s="121"/>
      <c r="I1104" s="47"/>
      <c r="J1104" s="30" t="s">
        <v>483</v>
      </c>
      <c r="K1104" s="41">
        <v>0</v>
      </c>
      <c r="L1104" s="41">
        <v>0</v>
      </c>
      <c r="M1104" s="41"/>
      <c r="N1104" s="115"/>
      <c r="P1104" s="47"/>
      <c r="Q1104" s="30" t="s">
        <v>483</v>
      </c>
      <c r="R1104" s="41">
        <v>0</v>
      </c>
      <c r="S1104" s="41">
        <v>0</v>
      </c>
      <c r="T1104" s="41"/>
      <c r="U1104" s="115"/>
      <c r="W1104" s="47"/>
      <c r="X1104" s="30" t="s">
        <v>483</v>
      </c>
      <c r="Y1104" s="41">
        <v>0</v>
      </c>
      <c r="Z1104" s="41">
        <v>0</v>
      </c>
      <c r="AA1104" s="41"/>
      <c r="AB1104" s="115"/>
      <c r="AD1104" s="492"/>
      <c r="AE1104" s="491" t="s">
        <v>483</v>
      </c>
      <c r="AF1104" s="490"/>
      <c r="AG1104" s="490"/>
      <c r="AH1104" s="490"/>
      <c r="AI1104" s="493"/>
      <c r="AK1104" s="47"/>
      <c r="AL1104" s="30" t="s">
        <v>483</v>
      </c>
      <c r="AM1104" s="41">
        <v>0</v>
      </c>
      <c r="AN1104" s="41">
        <v>0</v>
      </c>
      <c r="AO1104" s="41"/>
      <c r="AP1104" s="115"/>
    </row>
    <row r="1105" spans="2:48" ht="15.75" thickBot="1" x14ac:dyDescent="0.3">
      <c r="B1105" s="476"/>
      <c r="C1105" s="477"/>
      <c r="D1105" s="478">
        <v>169</v>
      </c>
      <c r="E1105" s="478">
        <v>2</v>
      </c>
      <c r="F1105" s="478"/>
      <c r="G1105" s="479">
        <v>171</v>
      </c>
      <c r="I1105" s="476"/>
      <c r="J1105" s="477"/>
      <c r="K1105" s="478">
        <v>34</v>
      </c>
      <c r="L1105" s="478">
        <v>0</v>
      </c>
      <c r="M1105" s="478"/>
      <c r="N1105" s="479">
        <v>34</v>
      </c>
      <c r="P1105" s="476"/>
      <c r="Q1105" s="477"/>
      <c r="R1105" s="478">
        <v>10</v>
      </c>
      <c r="S1105" s="478">
        <v>0</v>
      </c>
      <c r="T1105" s="478"/>
      <c r="U1105" s="479">
        <v>10</v>
      </c>
      <c r="W1105" s="476"/>
      <c r="X1105" s="477"/>
      <c r="Y1105" s="478">
        <v>10</v>
      </c>
      <c r="Z1105" s="478">
        <v>0</v>
      </c>
      <c r="AA1105" s="478"/>
      <c r="AB1105" s="479">
        <v>10</v>
      </c>
      <c r="AD1105" s="495"/>
      <c r="AE1105" s="496"/>
      <c r="AF1105" s="497"/>
      <c r="AG1105" s="497"/>
      <c r="AH1105" s="497"/>
      <c r="AI1105" s="498"/>
      <c r="AK1105" s="476"/>
      <c r="AL1105" s="477"/>
      <c r="AM1105" s="478">
        <v>4</v>
      </c>
      <c r="AN1105" s="478">
        <v>0</v>
      </c>
      <c r="AO1105" s="478"/>
      <c r="AP1105" s="479">
        <v>4</v>
      </c>
    </row>
    <row r="1106" spans="2:48" x14ac:dyDescent="0.25">
      <c r="J1106" s="78"/>
      <c r="Q1106" s="78"/>
      <c r="X1106" s="78"/>
      <c r="AE1106" s="78"/>
      <c r="AL1106" s="78"/>
    </row>
    <row r="1107" spans="2:48" x14ac:dyDescent="0.25">
      <c r="J1107" s="78"/>
      <c r="AE1107" s="78"/>
      <c r="AL1107" s="78"/>
    </row>
    <row r="1108" spans="2:48" ht="18.75" x14ac:dyDescent="0.3">
      <c r="B1108" s="9" t="s">
        <v>484</v>
      </c>
      <c r="I1108" s="9" t="s">
        <v>485</v>
      </c>
      <c r="P1108" s="9" t="s">
        <v>486</v>
      </c>
      <c r="W1108" s="9" t="s">
        <v>487</v>
      </c>
      <c r="AD1108" s="9" t="s">
        <v>488</v>
      </c>
      <c r="AK1108" s="9" t="s">
        <v>489</v>
      </c>
      <c r="AR1108" s="9" t="s">
        <v>490</v>
      </c>
    </row>
    <row r="1109" spans="2:48" x14ac:dyDescent="0.25">
      <c r="B1109" s="25"/>
      <c r="C1109" s="26" t="s">
        <v>24</v>
      </c>
      <c r="D1109" s="27" t="s">
        <v>25</v>
      </c>
      <c r="E1109" s="27" t="s">
        <v>27</v>
      </c>
      <c r="F1109" s="28" t="s">
        <v>28</v>
      </c>
      <c r="I1109" s="25"/>
      <c r="J1109" s="26" t="s">
        <v>24</v>
      </c>
      <c r="K1109" s="27" t="s">
        <v>25</v>
      </c>
      <c r="L1109" s="27" t="s">
        <v>27</v>
      </c>
      <c r="M1109" s="28" t="s">
        <v>28</v>
      </c>
      <c r="P1109" s="25"/>
      <c r="Q1109" s="26" t="s">
        <v>24</v>
      </c>
      <c r="R1109" s="27" t="s">
        <v>25</v>
      </c>
      <c r="S1109" s="27" t="s">
        <v>27</v>
      </c>
      <c r="T1109" s="28" t="s">
        <v>28</v>
      </c>
      <c r="W1109" s="25"/>
      <c r="X1109" s="26" t="s">
        <v>24</v>
      </c>
      <c r="Y1109" s="27" t="s">
        <v>25</v>
      </c>
      <c r="Z1109" s="27" t="s">
        <v>27</v>
      </c>
      <c r="AA1109" s="28" t="s">
        <v>28</v>
      </c>
      <c r="AD1109" s="25"/>
      <c r="AE1109" s="26" t="s">
        <v>24</v>
      </c>
      <c r="AF1109" s="27" t="s">
        <v>25</v>
      </c>
      <c r="AG1109" s="27" t="s">
        <v>27</v>
      </c>
      <c r="AH1109" s="28" t="s">
        <v>28</v>
      </c>
      <c r="AK1109" s="25"/>
      <c r="AL1109" s="26" t="s">
        <v>24</v>
      </c>
      <c r="AM1109" s="27" t="s">
        <v>25</v>
      </c>
      <c r="AN1109" s="27" t="s">
        <v>27</v>
      </c>
      <c r="AO1109" s="28" t="s">
        <v>28</v>
      </c>
      <c r="AR1109" s="25"/>
      <c r="AS1109" s="26" t="s">
        <v>24</v>
      </c>
      <c r="AT1109" s="27" t="s">
        <v>25</v>
      </c>
      <c r="AU1109" s="27" t="s">
        <v>27</v>
      </c>
      <c r="AV1109" s="28" t="s">
        <v>28</v>
      </c>
    </row>
    <row r="1110" spans="2:48" x14ac:dyDescent="0.25">
      <c r="B1110" s="38" t="s">
        <v>109</v>
      </c>
      <c r="C1110" s="39">
        <v>1786</v>
      </c>
      <c r="D1110" s="40">
        <v>64</v>
      </c>
      <c r="E1110" s="32">
        <f>SUM(C1110,D1110)</f>
        <v>1850</v>
      </c>
      <c r="F1110" s="41">
        <f>E1110/E1112*100</f>
        <v>90.155945419103318</v>
      </c>
      <c r="I1110" s="38" t="s">
        <v>109</v>
      </c>
      <c r="J1110" s="39">
        <v>241</v>
      </c>
      <c r="K1110" s="40">
        <v>107</v>
      </c>
      <c r="L1110" s="32">
        <f>SUM(J1110,K1110)</f>
        <v>348</v>
      </c>
      <c r="M1110" s="41">
        <f>L1110/L1112*100</f>
        <v>93.048128342245988</v>
      </c>
      <c r="P1110" s="38" t="s">
        <v>109</v>
      </c>
      <c r="Q1110" s="39">
        <v>77</v>
      </c>
      <c r="R1110" s="40">
        <v>21</v>
      </c>
      <c r="S1110" s="32">
        <f>SUM(Q1110,R1110)</f>
        <v>98</v>
      </c>
      <c r="T1110" s="41">
        <f>S1110/S1112*100</f>
        <v>89.090909090909093</v>
      </c>
      <c r="W1110" s="38" t="s">
        <v>109</v>
      </c>
      <c r="X1110" s="39">
        <v>91</v>
      </c>
      <c r="Y1110" s="40">
        <v>14</v>
      </c>
      <c r="Z1110" s="32">
        <f>SUM(X1110,Y1110)</f>
        <v>105</v>
      </c>
      <c r="AA1110" s="41">
        <f>Z1110/Z1112*100</f>
        <v>95.454545454545453</v>
      </c>
      <c r="AD1110" s="38" t="s">
        <v>109</v>
      </c>
      <c r="AE1110" s="39">
        <v>103</v>
      </c>
      <c r="AF1110" s="40">
        <v>0</v>
      </c>
      <c r="AG1110" s="32">
        <f>SUM(AE1110,AF1110)</f>
        <v>103</v>
      </c>
      <c r="AH1110" s="41">
        <f>AG1110/AG1112*100</f>
        <v>93.63636363636364</v>
      </c>
      <c r="AK1110" s="38" t="s">
        <v>109</v>
      </c>
      <c r="AL1110" s="39">
        <v>70</v>
      </c>
      <c r="AM1110" s="40">
        <v>11</v>
      </c>
      <c r="AN1110" s="32">
        <f>SUM(AL1110,AM1110)</f>
        <v>81</v>
      </c>
      <c r="AO1110" s="41">
        <f>AN1110/AN1112*100</f>
        <v>97.590361445783131</v>
      </c>
      <c r="AR1110" s="38" t="s">
        <v>109</v>
      </c>
      <c r="AS1110" s="39">
        <v>2368</v>
      </c>
      <c r="AT1110" s="40">
        <v>217</v>
      </c>
      <c r="AU1110" s="32">
        <f>SUM(AS1110,AT1110)</f>
        <v>2585</v>
      </c>
      <c r="AV1110" s="41">
        <f>AU1110/AU1112*100</f>
        <v>91.053187742162734</v>
      </c>
    </row>
    <row r="1111" spans="2:48" x14ac:dyDescent="0.25">
      <c r="B1111" s="56" t="s">
        <v>110</v>
      </c>
      <c r="C1111" s="57">
        <v>37</v>
      </c>
      <c r="D1111" s="58">
        <v>165</v>
      </c>
      <c r="E1111" s="50">
        <f>SUM(C1111,D1111)</f>
        <v>202</v>
      </c>
      <c r="F1111" s="59">
        <f>E1111/E1112*100</f>
        <v>9.8440545808966853</v>
      </c>
      <c r="I1111" s="56" t="s">
        <v>110</v>
      </c>
      <c r="J1111" s="57">
        <v>5</v>
      </c>
      <c r="K1111" s="58">
        <v>21</v>
      </c>
      <c r="L1111" s="50">
        <f>SUM(J1111,K1111)</f>
        <v>26</v>
      </c>
      <c r="M1111" s="59">
        <f>L1111/L1112*100</f>
        <v>6.9518716577540109</v>
      </c>
      <c r="P1111" s="56" t="s">
        <v>110</v>
      </c>
      <c r="Q1111" s="57">
        <v>9</v>
      </c>
      <c r="R1111" s="58">
        <v>3</v>
      </c>
      <c r="S1111" s="50">
        <f>SUM(Q1111,R1111)</f>
        <v>12</v>
      </c>
      <c r="T1111" s="59">
        <f>S1111/S1112*100</f>
        <v>10.909090909090908</v>
      </c>
      <c r="W1111" s="56" t="s">
        <v>110</v>
      </c>
      <c r="X1111" s="57">
        <v>3</v>
      </c>
      <c r="Y1111" s="58">
        <v>2</v>
      </c>
      <c r="Z1111" s="50">
        <f>SUM(X1111,Y1111)</f>
        <v>5</v>
      </c>
      <c r="AA1111" s="59">
        <f>Z1111/Z1112*100</f>
        <v>4.5454545454545459</v>
      </c>
      <c r="AD1111" s="56" t="s">
        <v>110</v>
      </c>
      <c r="AE1111" s="57">
        <v>2</v>
      </c>
      <c r="AF1111" s="58">
        <v>5</v>
      </c>
      <c r="AG1111" s="50">
        <f>SUM(AE1111,AF1111)</f>
        <v>7</v>
      </c>
      <c r="AH1111" s="59">
        <f>AG1111/AG1112*100</f>
        <v>6.3636363636363633</v>
      </c>
      <c r="AK1111" s="56" t="s">
        <v>110</v>
      </c>
      <c r="AL1111" s="57">
        <v>0</v>
      </c>
      <c r="AM1111" s="58">
        <v>2</v>
      </c>
      <c r="AN1111" s="50">
        <f>SUM(AL1111,AM1111)</f>
        <v>2</v>
      </c>
      <c r="AO1111" s="59">
        <f>AN1111/AN1112*100</f>
        <v>2.4096385542168677</v>
      </c>
      <c r="AR1111" s="56" t="s">
        <v>110</v>
      </c>
      <c r="AS1111" s="57">
        <v>56</v>
      </c>
      <c r="AT1111" s="58">
        <v>198</v>
      </c>
      <c r="AU1111" s="50">
        <f>SUM(AS1111,AT1111)</f>
        <v>254</v>
      </c>
      <c r="AV1111" s="59">
        <f>AU1111/AU1112*100</f>
        <v>8.9468122578372657</v>
      </c>
    </row>
    <row r="1112" spans="2:48" x14ac:dyDescent="0.25">
      <c r="B1112" s="56" t="s">
        <v>27</v>
      </c>
      <c r="C1112" s="64">
        <f>SUM(C1110,C1111)</f>
        <v>1823</v>
      </c>
      <c r="D1112" s="50">
        <f>SUM(D1110,D1111)</f>
        <v>229</v>
      </c>
      <c r="E1112" s="50">
        <f>SUM(C1110:D1111)</f>
        <v>2052</v>
      </c>
      <c r="F1112" s="59"/>
      <c r="I1112" s="56" t="s">
        <v>27</v>
      </c>
      <c r="J1112" s="64">
        <f>SUM(J1110,J1111)</f>
        <v>246</v>
      </c>
      <c r="K1112" s="50">
        <f>SUM(K1110,K1111)</f>
        <v>128</v>
      </c>
      <c r="L1112" s="50">
        <f>SUM(J1110:K1111)</f>
        <v>374</v>
      </c>
      <c r="M1112" s="59"/>
      <c r="P1112" s="56" t="s">
        <v>27</v>
      </c>
      <c r="Q1112" s="64">
        <f>SUM(Q1110,Q1111)</f>
        <v>86</v>
      </c>
      <c r="R1112" s="50">
        <f>SUM(R1110,R1111)</f>
        <v>24</v>
      </c>
      <c r="S1112" s="50">
        <f>SUM(Q1110:R1111)</f>
        <v>110</v>
      </c>
      <c r="T1112" s="59"/>
      <c r="W1112" s="56" t="s">
        <v>27</v>
      </c>
      <c r="X1112" s="64">
        <f>SUM(X1110,X1111)</f>
        <v>94</v>
      </c>
      <c r="Y1112" s="50">
        <f>SUM(Y1110,Y1111)</f>
        <v>16</v>
      </c>
      <c r="Z1112" s="50">
        <f>SUM(X1110:Y1111)</f>
        <v>110</v>
      </c>
      <c r="AA1112" s="59"/>
      <c r="AD1112" s="56" t="s">
        <v>27</v>
      </c>
      <c r="AE1112" s="64">
        <f>SUM(AE1110,AE1111)</f>
        <v>105</v>
      </c>
      <c r="AF1112" s="50">
        <f>SUM(AF1110,AF1111)</f>
        <v>5</v>
      </c>
      <c r="AG1112" s="50">
        <f>SUM(AE1110:AF1111)</f>
        <v>110</v>
      </c>
      <c r="AH1112" s="59"/>
      <c r="AK1112" s="56" t="s">
        <v>27</v>
      </c>
      <c r="AL1112" s="64">
        <f>SUM(AL1110,AL1111)</f>
        <v>70</v>
      </c>
      <c r="AM1112" s="50">
        <f>SUM(AM1110,AM1111)</f>
        <v>13</v>
      </c>
      <c r="AN1112" s="50">
        <f>SUM(AL1110:AM1111)</f>
        <v>83</v>
      </c>
      <c r="AO1112" s="59"/>
      <c r="AR1112" s="56" t="s">
        <v>27</v>
      </c>
      <c r="AS1112" s="64">
        <f>SUM(AS1110,AS1111)</f>
        <v>2424</v>
      </c>
      <c r="AT1112" s="50">
        <f>SUM(AT1110,AT1111)</f>
        <v>415</v>
      </c>
      <c r="AU1112" s="50">
        <f>SUM(AS1110:AT1111)</f>
        <v>2839</v>
      </c>
      <c r="AV1112" s="59"/>
    </row>
    <row r="1113" spans="2:48" x14ac:dyDescent="0.25">
      <c r="B1113" s="56" t="s">
        <v>28</v>
      </c>
      <c r="C1113" s="64">
        <f>C1112/E1112*100</f>
        <v>88.840155945419113</v>
      </c>
      <c r="D1113" s="59">
        <f>D1112/E1112*100</f>
        <v>11.159844054580896</v>
      </c>
      <c r="E1113" s="59"/>
      <c r="F1113" s="59"/>
      <c r="I1113" s="56" t="s">
        <v>28</v>
      </c>
      <c r="J1113" s="64">
        <f>J1112/L1112*100</f>
        <v>65.775401069518708</v>
      </c>
      <c r="K1113" s="59">
        <f>K1112/L1112*100</f>
        <v>34.224598930481278</v>
      </c>
      <c r="L1113" s="59"/>
      <c r="M1113" s="59"/>
      <c r="P1113" s="56" t="s">
        <v>28</v>
      </c>
      <c r="Q1113" s="64">
        <f>Q1112/S1112*100</f>
        <v>78.181818181818187</v>
      </c>
      <c r="R1113" s="59">
        <f>R1112/S1112*100</f>
        <v>21.818181818181817</v>
      </c>
      <c r="S1113" s="59"/>
      <c r="T1113" s="59"/>
      <c r="W1113" s="56" t="s">
        <v>28</v>
      </c>
      <c r="X1113" s="64">
        <f>X1112/Z1112*100</f>
        <v>85.454545454545453</v>
      </c>
      <c r="Y1113" s="59">
        <f>Y1112/Z1112*100</f>
        <v>14.545454545454545</v>
      </c>
      <c r="Z1113" s="59"/>
      <c r="AA1113" s="59"/>
      <c r="AD1113" s="56" t="s">
        <v>28</v>
      </c>
      <c r="AE1113" s="64">
        <f>AE1112/AG1112*100</f>
        <v>95.454545454545453</v>
      </c>
      <c r="AF1113" s="59">
        <f>AF1112/AG1112*100</f>
        <v>4.5454545454545459</v>
      </c>
      <c r="AG1113" s="59"/>
      <c r="AH1113" s="59"/>
      <c r="AK1113" s="56" t="s">
        <v>28</v>
      </c>
      <c r="AL1113" s="64">
        <f>AL1112/AN1112*100</f>
        <v>84.337349397590373</v>
      </c>
      <c r="AM1113" s="59">
        <f>AM1112/AN1112*100</f>
        <v>15.66265060240964</v>
      </c>
      <c r="AN1113" s="59"/>
      <c r="AO1113" s="59"/>
      <c r="AR1113" s="56" t="s">
        <v>28</v>
      </c>
      <c r="AS1113" s="64">
        <f>AS1112/AU1112*100</f>
        <v>85.382176822824945</v>
      </c>
      <c r="AT1113" s="59">
        <f>AT1112/AU1112*100</f>
        <v>14.617823177175064</v>
      </c>
      <c r="AU1113" s="59"/>
      <c r="AV1113" s="59"/>
    </row>
    <row r="1114" spans="2:48" x14ac:dyDescent="0.25">
      <c r="J1114" s="78"/>
      <c r="AE1114" s="78"/>
      <c r="AL1114" s="78"/>
    </row>
    <row r="1115" spans="2:48" x14ac:dyDescent="0.25">
      <c r="J1115" s="78"/>
      <c r="AE1115" s="78"/>
      <c r="AL1115" s="78"/>
    </row>
    <row r="1116" spans="2:48" x14ac:dyDescent="0.25">
      <c r="J1116" s="78"/>
      <c r="AE1116" s="78"/>
      <c r="AL1116" s="78"/>
    </row>
    <row r="1117" spans="2:48" ht="18.75" x14ac:dyDescent="0.3">
      <c r="B1117" s="9" t="s">
        <v>111</v>
      </c>
      <c r="AL1117" s="78"/>
    </row>
    <row r="1118" spans="2:48" x14ac:dyDescent="0.25">
      <c r="B1118" s="180" t="s">
        <v>112</v>
      </c>
      <c r="AL1118" s="78"/>
    </row>
    <row r="1119" spans="2:48" x14ac:dyDescent="0.25">
      <c r="AL1119" s="78"/>
    </row>
    <row r="1120" spans="2:48" x14ac:dyDescent="0.25">
      <c r="B1120" s="181" t="s">
        <v>491</v>
      </c>
      <c r="C1120" s="1"/>
      <c r="D1120" s="12"/>
      <c r="AL1120" s="78"/>
    </row>
    <row r="1121" spans="2:38" x14ac:dyDescent="0.25">
      <c r="B1121" s="184"/>
      <c r="C1121" s="205"/>
      <c r="D1121" s="184" t="s">
        <v>376</v>
      </c>
      <c r="E1121" s="110" t="s">
        <v>377</v>
      </c>
      <c r="F1121" s="110" t="s">
        <v>492</v>
      </c>
      <c r="G1121" s="199" t="s">
        <v>380</v>
      </c>
      <c r="H1121" s="110" t="s">
        <v>493</v>
      </c>
      <c r="I1121" s="506" t="s">
        <v>494</v>
      </c>
      <c r="J1121" s="506" t="s">
        <v>495</v>
      </c>
      <c r="K1121" s="506" t="s">
        <v>496</v>
      </c>
      <c r="AL1121" s="78"/>
    </row>
    <row r="1122" spans="2:38" x14ac:dyDescent="0.25">
      <c r="B1122" s="38"/>
      <c r="C1122" s="208" t="s">
        <v>267</v>
      </c>
      <c r="D1122" s="38" t="s">
        <v>497</v>
      </c>
      <c r="E1122" s="41" t="s">
        <v>497</v>
      </c>
      <c r="F1122" s="41" t="s">
        <v>497</v>
      </c>
      <c r="G1122" s="41" t="s">
        <v>497</v>
      </c>
      <c r="H1122" s="41" t="s">
        <v>497</v>
      </c>
      <c r="I1122" s="151" t="s">
        <v>275</v>
      </c>
      <c r="J1122" s="151" t="s">
        <v>275</v>
      </c>
      <c r="K1122" s="151" t="s">
        <v>498</v>
      </c>
      <c r="AL1122" s="78"/>
    </row>
    <row r="1123" spans="2:38" x14ac:dyDescent="0.25">
      <c r="B1123" s="56" t="s">
        <v>22</v>
      </c>
      <c r="C1123" s="186" t="s">
        <v>23</v>
      </c>
      <c r="D1123" s="59" t="s">
        <v>117</v>
      </c>
      <c r="E1123" s="59" t="s">
        <v>117</v>
      </c>
      <c r="F1123" s="59" t="s">
        <v>117</v>
      </c>
      <c r="G1123" s="59" t="s">
        <v>117</v>
      </c>
      <c r="H1123" s="59" t="s">
        <v>117</v>
      </c>
      <c r="I1123" s="507" t="s">
        <v>117</v>
      </c>
      <c r="J1123" s="507" t="s">
        <v>117</v>
      </c>
      <c r="K1123" s="507" t="s">
        <v>117</v>
      </c>
      <c r="AL1123" s="78"/>
    </row>
    <row r="1124" spans="2:38" x14ac:dyDescent="0.25">
      <c r="B1124" s="38" t="s">
        <v>29</v>
      </c>
      <c r="C1124" s="208" t="s">
        <v>389</v>
      </c>
      <c r="D1124" s="41">
        <v>104</v>
      </c>
      <c r="E1124" s="41">
        <v>12</v>
      </c>
      <c r="F1124" s="41">
        <v>5</v>
      </c>
      <c r="G1124" s="41">
        <v>8</v>
      </c>
      <c r="H1124" s="41">
        <v>3</v>
      </c>
      <c r="I1124" s="508">
        <v>1</v>
      </c>
      <c r="J1124" s="508">
        <v>1</v>
      </c>
      <c r="K1124" s="508">
        <v>0</v>
      </c>
      <c r="AL1124" s="78"/>
    </row>
    <row r="1125" spans="2:38" x14ac:dyDescent="0.25">
      <c r="B1125" s="56"/>
      <c r="C1125" s="186">
        <v>8</v>
      </c>
      <c r="D1125" s="56">
        <v>17</v>
      </c>
      <c r="E1125" s="59">
        <v>7</v>
      </c>
      <c r="F1125" s="59">
        <v>0</v>
      </c>
      <c r="G1125" s="59">
        <v>1</v>
      </c>
      <c r="H1125" s="59">
        <v>2</v>
      </c>
      <c r="I1125" s="508">
        <v>0</v>
      </c>
      <c r="J1125" s="508">
        <v>1</v>
      </c>
      <c r="K1125" s="508">
        <v>1</v>
      </c>
      <c r="AL1125" s="78"/>
    </row>
    <row r="1126" spans="2:38" x14ac:dyDescent="0.25">
      <c r="B1126" s="38" t="s">
        <v>32</v>
      </c>
      <c r="C1126" s="208">
        <v>16</v>
      </c>
      <c r="D1126" s="509">
        <v>26</v>
      </c>
      <c r="E1126" s="509">
        <v>8</v>
      </c>
      <c r="F1126" s="509">
        <v>1</v>
      </c>
      <c r="G1126" s="509">
        <v>1</v>
      </c>
      <c r="H1126" s="41">
        <v>0</v>
      </c>
      <c r="I1126" s="508">
        <v>2</v>
      </c>
      <c r="J1126" s="508">
        <v>1</v>
      </c>
      <c r="K1126" s="508">
        <v>0</v>
      </c>
      <c r="AL1126" s="78"/>
    </row>
    <row r="1127" spans="2:38" x14ac:dyDescent="0.25">
      <c r="B1127" s="38"/>
      <c r="C1127" s="208">
        <v>32</v>
      </c>
      <c r="D1127" s="509">
        <v>15</v>
      </c>
      <c r="E1127" s="509">
        <v>3</v>
      </c>
      <c r="F1127" s="41">
        <v>0</v>
      </c>
      <c r="G1127" s="41">
        <v>0</v>
      </c>
      <c r="H1127" s="509">
        <v>1</v>
      </c>
      <c r="I1127" s="508">
        <v>3</v>
      </c>
      <c r="J1127" s="508">
        <v>0</v>
      </c>
      <c r="K1127" s="508">
        <v>1</v>
      </c>
      <c r="AL1127" s="78"/>
    </row>
    <row r="1128" spans="2:38" x14ac:dyDescent="0.25">
      <c r="B1128" s="56"/>
      <c r="C1128" s="186" t="s">
        <v>101</v>
      </c>
      <c r="D1128" s="510">
        <v>9</v>
      </c>
      <c r="E1128" s="510">
        <v>4</v>
      </c>
      <c r="F1128" s="510">
        <v>1</v>
      </c>
      <c r="G1128" s="59">
        <v>0</v>
      </c>
      <c r="H1128" s="59">
        <v>0</v>
      </c>
      <c r="I1128" s="507">
        <v>4</v>
      </c>
      <c r="J1128" s="507">
        <v>0</v>
      </c>
      <c r="K1128" s="507">
        <v>0</v>
      </c>
      <c r="AL1128" s="78"/>
    </row>
    <row r="1129" spans="2:38" x14ac:dyDescent="0.25">
      <c r="B1129" s="78"/>
      <c r="AL1129" s="78"/>
    </row>
    <row r="1130" spans="2:38" x14ac:dyDescent="0.25">
      <c r="B1130" s="181" t="s">
        <v>499</v>
      </c>
      <c r="C1130" s="431" t="s">
        <v>500</v>
      </c>
      <c r="AL1130" s="78"/>
    </row>
    <row r="1131" spans="2:38" x14ac:dyDescent="0.25">
      <c r="B1131" s="184"/>
      <c r="C1131" s="205"/>
      <c r="D1131" s="184" t="s">
        <v>376</v>
      </c>
      <c r="E1131" s="110" t="s">
        <v>377</v>
      </c>
      <c r="F1131" s="506" t="s">
        <v>494</v>
      </c>
      <c r="G1131" s="506" t="s">
        <v>501</v>
      </c>
      <c r="H1131" s="506" t="s">
        <v>502</v>
      </c>
      <c r="I1131" s="511" t="s">
        <v>503</v>
      </c>
      <c r="AL1131" s="78"/>
    </row>
    <row r="1132" spans="2:38" x14ac:dyDescent="0.25">
      <c r="B1132" s="38"/>
      <c r="C1132" s="208" t="s">
        <v>267</v>
      </c>
      <c r="D1132" s="38" t="s">
        <v>259</v>
      </c>
      <c r="E1132" s="41" t="s">
        <v>259</v>
      </c>
      <c r="F1132" s="508" t="s">
        <v>504</v>
      </c>
      <c r="G1132" s="508" t="s">
        <v>504</v>
      </c>
      <c r="H1132" s="508" t="s">
        <v>130</v>
      </c>
      <c r="I1132" s="508" t="s">
        <v>504</v>
      </c>
      <c r="AL1132" s="78"/>
    </row>
    <row r="1133" spans="2:38" x14ac:dyDescent="0.25">
      <c r="B1133" s="56" t="s">
        <v>22</v>
      </c>
      <c r="C1133" s="186" t="s">
        <v>23</v>
      </c>
      <c r="D1133" s="59" t="s">
        <v>117</v>
      </c>
      <c r="E1133" s="59" t="s">
        <v>117</v>
      </c>
      <c r="F1133" s="507" t="s">
        <v>117</v>
      </c>
      <c r="G1133" s="507" t="s">
        <v>117</v>
      </c>
      <c r="H1133" s="507" t="s">
        <v>117</v>
      </c>
      <c r="I1133" s="512" t="s">
        <v>117</v>
      </c>
      <c r="AL1133" s="78"/>
    </row>
    <row r="1134" spans="2:38" x14ac:dyDescent="0.25">
      <c r="B1134" s="25" t="s">
        <v>31</v>
      </c>
      <c r="C1134" s="483" t="s">
        <v>389</v>
      </c>
      <c r="D1134" s="25">
        <v>148</v>
      </c>
      <c r="E1134" s="28">
        <v>20</v>
      </c>
      <c r="F1134" s="508">
        <v>0</v>
      </c>
      <c r="G1134" s="508">
        <v>5</v>
      </c>
      <c r="H1134" s="508">
        <v>7</v>
      </c>
      <c r="I1134" s="513">
        <v>2</v>
      </c>
      <c r="AL1134" s="78"/>
    </row>
    <row r="1135" spans="2:38" x14ac:dyDescent="0.25">
      <c r="B1135" s="189" t="s">
        <v>32</v>
      </c>
      <c r="C1135" s="208">
        <v>8</v>
      </c>
      <c r="D1135" s="509">
        <v>6</v>
      </c>
      <c r="E1135" s="509">
        <v>1</v>
      </c>
      <c r="F1135" s="508">
        <v>0</v>
      </c>
      <c r="G1135" s="508">
        <v>0</v>
      </c>
      <c r="H1135" s="508">
        <v>3</v>
      </c>
      <c r="I1135" s="513">
        <v>0</v>
      </c>
      <c r="AL1135" s="78"/>
    </row>
    <row r="1136" spans="2:38" x14ac:dyDescent="0.25">
      <c r="B1136" s="191"/>
      <c r="C1136" s="208">
        <v>16</v>
      </c>
      <c r="D1136" s="509">
        <v>3</v>
      </c>
      <c r="E1136" s="509">
        <v>7</v>
      </c>
      <c r="F1136" s="508">
        <v>0</v>
      </c>
      <c r="G1136" s="508">
        <v>1</v>
      </c>
      <c r="H1136" s="508">
        <v>0</v>
      </c>
      <c r="I1136" s="513">
        <v>0</v>
      </c>
      <c r="AL1136" s="78"/>
    </row>
    <row r="1137" spans="2:38" x14ac:dyDescent="0.25">
      <c r="B1137" s="191"/>
      <c r="C1137" s="208">
        <v>32</v>
      </c>
      <c r="D1137" s="509">
        <v>2</v>
      </c>
      <c r="E1137" s="509">
        <v>2</v>
      </c>
      <c r="F1137" s="508">
        <v>1</v>
      </c>
      <c r="G1137" s="508">
        <v>0</v>
      </c>
      <c r="H1137" s="508">
        <v>0</v>
      </c>
      <c r="I1137" s="513">
        <v>0</v>
      </c>
      <c r="AL1137" s="78"/>
    </row>
    <row r="1138" spans="2:38" x14ac:dyDescent="0.25">
      <c r="B1138" s="190"/>
      <c r="C1138" s="186" t="s">
        <v>101</v>
      </c>
      <c r="D1138" s="510">
        <v>12</v>
      </c>
      <c r="E1138" s="510">
        <v>4</v>
      </c>
      <c r="F1138" s="507">
        <v>9</v>
      </c>
      <c r="G1138" s="507">
        <v>4</v>
      </c>
      <c r="H1138" s="507">
        <v>0</v>
      </c>
      <c r="I1138" s="512">
        <v>6</v>
      </c>
      <c r="AL1138" s="78"/>
    </row>
    <row r="1139" spans="2:38" x14ac:dyDescent="0.25">
      <c r="B1139" s="78"/>
      <c r="AL1139" s="78"/>
    </row>
    <row r="1140" spans="2:38" x14ac:dyDescent="0.25">
      <c r="B1140" s="181" t="s">
        <v>224</v>
      </c>
      <c r="D1140" s="1"/>
      <c r="AL1140" s="78"/>
    </row>
    <row r="1141" spans="2:38" x14ac:dyDescent="0.25">
      <c r="B1141" s="184"/>
      <c r="C1141" s="107"/>
      <c r="D1141" s="198" t="s">
        <v>376</v>
      </c>
      <c r="E1141" s="199" t="s">
        <v>377</v>
      </c>
      <c r="F1141" s="199" t="s">
        <v>380</v>
      </c>
      <c r="G1141" s="199" t="s">
        <v>505</v>
      </c>
      <c r="H1141" s="207" t="s">
        <v>494</v>
      </c>
      <c r="I1141" s="207" t="s">
        <v>501</v>
      </c>
      <c r="J1141" s="207" t="s">
        <v>506</v>
      </c>
      <c r="AL1141" s="78"/>
    </row>
    <row r="1142" spans="2:38" x14ac:dyDescent="0.25">
      <c r="B1142" s="38"/>
      <c r="C1142" s="30" t="s">
        <v>267</v>
      </c>
      <c r="D1142" s="201" t="s">
        <v>497</v>
      </c>
      <c r="E1142" s="514" t="s">
        <v>497</v>
      </c>
      <c r="F1142" s="514" t="s">
        <v>497</v>
      </c>
      <c r="G1142" s="514" t="s">
        <v>497</v>
      </c>
      <c r="H1142" s="445" t="s">
        <v>130</v>
      </c>
      <c r="I1142" s="508" t="s">
        <v>504</v>
      </c>
      <c r="J1142" s="508" t="s">
        <v>504</v>
      </c>
      <c r="AL1142" s="78"/>
    </row>
    <row r="1143" spans="2:38" x14ac:dyDescent="0.25">
      <c r="B1143" s="56" t="s">
        <v>22</v>
      </c>
      <c r="C1143" s="48" t="s">
        <v>23</v>
      </c>
      <c r="D1143" s="59" t="s">
        <v>117</v>
      </c>
      <c r="E1143" s="59" t="s">
        <v>117</v>
      </c>
      <c r="F1143" s="59" t="s">
        <v>117</v>
      </c>
      <c r="G1143" s="59" t="s">
        <v>117</v>
      </c>
      <c r="H1143" s="162" t="s">
        <v>117</v>
      </c>
      <c r="I1143" s="162" t="s">
        <v>117</v>
      </c>
      <c r="J1143" s="162" t="s">
        <v>117</v>
      </c>
      <c r="AL1143" s="78"/>
    </row>
    <row r="1144" spans="2:38" x14ac:dyDescent="0.25">
      <c r="B1144" s="189" t="s">
        <v>507</v>
      </c>
      <c r="C1144" s="30" t="s">
        <v>389</v>
      </c>
      <c r="D1144" s="41">
        <v>136</v>
      </c>
      <c r="E1144" s="41">
        <v>27</v>
      </c>
      <c r="F1144" s="41">
        <v>10</v>
      </c>
      <c r="G1144" s="41">
        <v>1</v>
      </c>
      <c r="H1144" s="151">
        <v>2</v>
      </c>
      <c r="I1144" s="151">
        <v>7</v>
      </c>
      <c r="J1144" s="151">
        <v>3</v>
      </c>
      <c r="AL1144" s="78"/>
    </row>
    <row r="1145" spans="2:38" x14ac:dyDescent="0.25">
      <c r="B1145" s="190"/>
      <c r="C1145" s="48">
        <v>8</v>
      </c>
      <c r="D1145" s="56">
        <v>6</v>
      </c>
      <c r="E1145" s="59">
        <v>1</v>
      </c>
      <c r="F1145" s="59">
        <v>0</v>
      </c>
      <c r="G1145" s="59">
        <v>0</v>
      </c>
      <c r="H1145" s="151">
        <v>4</v>
      </c>
      <c r="I1145" s="151">
        <v>1</v>
      </c>
      <c r="J1145" s="151">
        <v>1</v>
      </c>
      <c r="AL1145" s="78"/>
    </row>
    <row r="1146" spans="2:38" x14ac:dyDescent="0.25">
      <c r="B1146" s="189" t="s">
        <v>32</v>
      </c>
      <c r="C1146" s="30">
        <v>16</v>
      </c>
      <c r="D1146" s="509">
        <v>19</v>
      </c>
      <c r="E1146" s="509">
        <v>2</v>
      </c>
      <c r="F1146" s="41">
        <v>0</v>
      </c>
      <c r="G1146" s="41">
        <v>0</v>
      </c>
      <c r="H1146" s="151">
        <v>1</v>
      </c>
      <c r="I1146" s="151">
        <v>0</v>
      </c>
      <c r="J1146" s="151">
        <v>1</v>
      </c>
      <c r="AL1146" s="78"/>
    </row>
    <row r="1147" spans="2:38" x14ac:dyDescent="0.25">
      <c r="B1147" s="191"/>
      <c r="C1147" s="30">
        <v>32</v>
      </c>
      <c r="D1147" s="41">
        <v>0</v>
      </c>
      <c r="E1147" s="41">
        <v>0</v>
      </c>
      <c r="F1147" s="41">
        <v>0</v>
      </c>
      <c r="G1147" s="41">
        <v>0</v>
      </c>
      <c r="H1147" s="151">
        <v>0</v>
      </c>
      <c r="I1147" s="151">
        <v>0</v>
      </c>
      <c r="J1147" s="151">
        <v>0</v>
      </c>
    </row>
    <row r="1148" spans="2:38" x14ac:dyDescent="0.25">
      <c r="B1148" s="190"/>
      <c r="C1148" s="48" t="s">
        <v>101</v>
      </c>
      <c r="D1148" s="510">
        <v>10</v>
      </c>
      <c r="E1148" s="510">
        <v>4</v>
      </c>
      <c r="F1148" s="59">
        <v>0</v>
      </c>
      <c r="G1148" s="59">
        <v>0</v>
      </c>
      <c r="H1148" s="162">
        <v>3</v>
      </c>
      <c r="I1148" s="162">
        <v>2</v>
      </c>
      <c r="J1148" s="162">
        <v>2</v>
      </c>
    </row>
    <row r="1149" spans="2:38" x14ac:dyDescent="0.25">
      <c r="B1149" s="78"/>
    </row>
    <row r="1150" spans="2:38" x14ac:dyDescent="0.25">
      <c r="B1150" s="78"/>
    </row>
    <row r="1151" spans="2:38" ht="18.75" x14ac:dyDescent="0.3">
      <c r="B1151" s="214" t="s">
        <v>131</v>
      </c>
    </row>
    <row r="1152" spans="2:38" x14ac:dyDescent="0.25">
      <c r="B1152" s="78" t="s">
        <v>508</v>
      </c>
    </row>
    <row r="1153" spans="2:18" x14ac:dyDescent="0.25">
      <c r="B1153" s="78"/>
    </row>
    <row r="1154" spans="2:18" x14ac:dyDescent="0.25">
      <c r="B1154" s="216" t="s">
        <v>509</v>
      </c>
      <c r="C1154" s="216" t="s">
        <v>510</v>
      </c>
      <c r="D1154" s="5"/>
      <c r="E1154" s="5"/>
      <c r="F1154" s="5"/>
      <c r="G1154" s="5"/>
      <c r="H1154" s="5"/>
      <c r="I1154" s="5"/>
      <c r="J1154" s="5"/>
      <c r="K1154" s="5"/>
      <c r="L1154" s="5"/>
      <c r="M1154" s="5"/>
      <c r="N1154" s="5"/>
      <c r="O1154" s="5"/>
      <c r="P1154" s="231"/>
      <c r="Q1154" s="5"/>
      <c r="R1154" s="12"/>
    </row>
    <row r="1155" spans="2:18" x14ac:dyDescent="0.25">
      <c r="B1155" s="146"/>
      <c r="C1155" s="384" t="s">
        <v>376</v>
      </c>
      <c r="D1155" s="145"/>
      <c r="E1155" s="384" t="s">
        <v>377</v>
      </c>
      <c r="F1155" s="145"/>
      <c r="G1155" s="384" t="s">
        <v>378</v>
      </c>
      <c r="H1155" s="145"/>
      <c r="I1155" s="384" t="s">
        <v>379</v>
      </c>
      <c r="J1155" s="145"/>
      <c r="K1155" s="384" t="s">
        <v>380</v>
      </c>
      <c r="L1155" s="145"/>
      <c r="M1155" s="384" t="s">
        <v>381</v>
      </c>
      <c r="N1155" s="145"/>
      <c r="O1155" s="5"/>
    </row>
    <row r="1156" spans="2:18" x14ac:dyDescent="0.25">
      <c r="B1156" s="220" t="s">
        <v>267</v>
      </c>
      <c r="C1156" s="438" t="s">
        <v>497</v>
      </c>
      <c r="D1156" s="439"/>
      <c r="E1156" s="438" t="s">
        <v>497</v>
      </c>
      <c r="F1156" s="439"/>
      <c r="G1156" s="438" t="s">
        <v>497</v>
      </c>
      <c r="H1156" s="439"/>
      <c r="I1156" s="438" t="s">
        <v>497</v>
      </c>
      <c r="J1156" s="439"/>
      <c r="K1156" s="438" t="s">
        <v>497</v>
      </c>
      <c r="L1156" s="439"/>
      <c r="M1156" s="438" t="s">
        <v>497</v>
      </c>
      <c r="N1156" s="439"/>
    </row>
    <row r="1157" spans="2:18" x14ac:dyDescent="0.25">
      <c r="B1157" s="210" t="s">
        <v>23</v>
      </c>
      <c r="C1157" s="222" t="s">
        <v>117</v>
      </c>
      <c r="D1157" s="162" t="s">
        <v>26</v>
      </c>
      <c r="E1157" s="222" t="s">
        <v>117</v>
      </c>
      <c r="F1157" s="162" t="s">
        <v>26</v>
      </c>
      <c r="G1157" s="222" t="s">
        <v>117</v>
      </c>
      <c r="H1157" s="162" t="s">
        <v>26</v>
      </c>
      <c r="I1157" s="222" t="s">
        <v>117</v>
      </c>
      <c r="J1157" s="162" t="s">
        <v>26</v>
      </c>
      <c r="K1157" s="222" t="s">
        <v>117</v>
      </c>
      <c r="L1157" s="162" t="s">
        <v>26</v>
      </c>
      <c r="M1157" s="222" t="s">
        <v>117</v>
      </c>
      <c r="N1157" s="162" t="s">
        <v>26</v>
      </c>
      <c r="O1157" s="5"/>
    </row>
    <row r="1158" spans="2:18" x14ac:dyDescent="0.25">
      <c r="B1158" s="152" t="s">
        <v>397</v>
      </c>
      <c r="C1158" s="5">
        <v>166</v>
      </c>
      <c r="D1158" s="151" t="s">
        <v>511</v>
      </c>
      <c r="E1158" s="5">
        <v>31</v>
      </c>
      <c r="F1158" s="151" t="s">
        <v>512</v>
      </c>
      <c r="G1158" s="5">
        <v>8</v>
      </c>
      <c r="H1158" s="151" t="s">
        <v>513</v>
      </c>
      <c r="I1158" s="5">
        <v>10</v>
      </c>
      <c r="J1158" s="151" t="s">
        <v>514</v>
      </c>
      <c r="K1158" s="5">
        <v>10</v>
      </c>
      <c r="L1158" s="151"/>
      <c r="M1158" s="5">
        <v>8</v>
      </c>
      <c r="N1158" s="151" t="s">
        <v>402</v>
      </c>
      <c r="O1158" s="5"/>
    </row>
    <row r="1159" spans="2:18" x14ac:dyDescent="0.25">
      <c r="B1159" s="515">
        <v>32</v>
      </c>
      <c r="C1159" s="5">
        <v>0</v>
      </c>
      <c r="D1159" s="151"/>
      <c r="E1159" s="5">
        <v>1</v>
      </c>
      <c r="F1159" s="151" t="s">
        <v>515</v>
      </c>
      <c r="G1159" s="5">
        <v>0</v>
      </c>
      <c r="H1159" s="151"/>
      <c r="I1159" s="5">
        <v>0</v>
      </c>
      <c r="J1159" s="151"/>
      <c r="K1159" s="5">
        <v>0</v>
      </c>
      <c r="L1159" s="151"/>
      <c r="M1159" s="5">
        <v>0</v>
      </c>
      <c r="N1159" s="151"/>
      <c r="O1159" s="5"/>
      <c r="P1159" s="516"/>
    </row>
    <row r="1160" spans="2:18" x14ac:dyDescent="0.25">
      <c r="B1160" s="152">
        <v>64</v>
      </c>
      <c r="C1160" s="5">
        <v>1</v>
      </c>
      <c r="D1160" s="151" t="s">
        <v>516</v>
      </c>
      <c r="E1160" s="5">
        <v>0</v>
      </c>
      <c r="F1160" s="151"/>
      <c r="G1160" s="5">
        <v>1</v>
      </c>
      <c r="H1160" s="151" t="s">
        <v>423</v>
      </c>
      <c r="I1160" s="5">
        <v>0</v>
      </c>
      <c r="J1160" s="151"/>
      <c r="K1160" s="5">
        <v>0</v>
      </c>
      <c r="L1160" s="151"/>
      <c r="M1160" s="5">
        <v>0</v>
      </c>
      <c r="N1160" s="151"/>
      <c r="O1160" s="5"/>
    </row>
    <row r="1161" spans="2:18" x14ac:dyDescent="0.25">
      <c r="B1161" s="152">
        <v>128</v>
      </c>
      <c r="C1161" s="5">
        <v>3</v>
      </c>
      <c r="D1161" s="151"/>
      <c r="E1161" s="5">
        <v>0</v>
      </c>
      <c r="F1161" s="151"/>
      <c r="G1161" s="5">
        <v>1</v>
      </c>
      <c r="H1161" s="151"/>
      <c r="I1161" s="5">
        <v>0</v>
      </c>
      <c r="J1161" s="151"/>
      <c r="K1161" s="5">
        <v>0</v>
      </c>
      <c r="L1161" s="151"/>
      <c r="M1161" s="5">
        <v>0</v>
      </c>
      <c r="N1161" s="151"/>
      <c r="O1161" s="5"/>
    </row>
    <row r="1162" spans="2:18" x14ac:dyDescent="0.25">
      <c r="B1162" s="210" t="s">
        <v>483</v>
      </c>
      <c r="C1162" s="222">
        <v>1</v>
      </c>
      <c r="D1162" s="162"/>
      <c r="E1162" s="222">
        <v>2</v>
      </c>
      <c r="F1162" s="162" t="s">
        <v>517</v>
      </c>
      <c r="G1162" s="222">
        <v>0</v>
      </c>
      <c r="H1162" s="162"/>
      <c r="I1162" s="222">
        <v>0</v>
      </c>
      <c r="J1162" s="162"/>
      <c r="K1162" s="222">
        <v>0</v>
      </c>
      <c r="L1162" s="162"/>
      <c r="M1162" s="222">
        <v>0</v>
      </c>
      <c r="N1162" s="162"/>
      <c r="O1162" s="5"/>
    </row>
    <row r="1163" spans="2:18" x14ac:dyDescent="0.25">
      <c r="B1163" s="230"/>
      <c r="C1163" s="5"/>
      <c r="D1163" s="5"/>
      <c r="E1163" s="5"/>
      <c r="F1163" s="5"/>
      <c r="G1163" s="5"/>
      <c r="H1163" s="5"/>
      <c r="I1163" s="5"/>
      <c r="J1163" s="5"/>
      <c r="K1163" s="5"/>
      <c r="L1163" s="5"/>
      <c r="M1163" s="5"/>
      <c r="N1163" s="5"/>
      <c r="O1163" s="5"/>
      <c r="P1163" s="5"/>
      <c r="Q1163" s="5"/>
      <c r="R1163" s="12"/>
    </row>
    <row r="1164" spans="2:18" x14ac:dyDescent="0.25">
      <c r="B1164" s="215" t="s">
        <v>518</v>
      </c>
      <c r="C1164" s="216" t="s">
        <v>510</v>
      </c>
      <c r="D1164" s="216"/>
      <c r="E1164" s="5"/>
      <c r="F1164" s="5"/>
      <c r="G1164" s="5"/>
      <c r="H1164" s="5"/>
      <c r="I1164" s="5"/>
      <c r="J1164" s="5"/>
      <c r="K1164" s="5"/>
      <c r="L1164" s="5"/>
      <c r="M1164" s="5"/>
      <c r="N1164" s="5"/>
      <c r="O1164" s="231"/>
    </row>
    <row r="1165" spans="2:18" x14ac:dyDescent="0.25">
      <c r="B1165" s="218" t="s">
        <v>519</v>
      </c>
      <c r="C1165" s="235" t="s">
        <v>376</v>
      </c>
      <c r="D1165" s="236"/>
      <c r="E1165" s="235" t="s">
        <v>520</v>
      </c>
      <c r="F1165" s="236"/>
      <c r="G1165" s="235" t="s">
        <v>494</v>
      </c>
      <c r="H1165" s="236"/>
      <c r="I1165" s="235" t="s">
        <v>501</v>
      </c>
      <c r="J1165" s="236"/>
      <c r="K1165" s="235" t="s">
        <v>502</v>
      </c>
      <c r="L1165" s="236"/>
      <c r="M1165" s="235" t="s">
        <v>503</v>
      </c>
      <c r="N1165" s="236"/>
    </row>
    <row r="1166" spans="2:18" x14ac:dyDescent="0.25">
      <c r="B1166" s="220" t="s">
        <v>267</v>
      </c>
      <c r="C1166" s="438" t="s">
        <v>116</v>
      </c>
      <c r="D1166" s="439"/>
      <c r="E1166" s="438" t="s">
        <v>116</v>
      </c>
      <c r="F1166" s="439"/>
      <c r="G1166" s="438" t="s">
        <v>116</v>
      </c>
      <c r="H1166" s="439"/>
      <c r="I1166" s="438" t="s">
        <v>116</v>
      </c>
      <c r="J1166" s="439"/>
      <c r="K1166" s="438" t="s">
        <v>116</v>
      </c>
      <c r="L1166" s="439"/>
      <c r="M1166" s="438" t="s">
        <v>116</v>
      </c>
      <c r="N1166" s="439"/>
    </row>
    <row r="1167" spans="2:18" x14ac:dyDescent="0.25">
      <c r="B1167" s="221" t="s">
        <v>23</v>
      </c>
      <c r="C1167" s="222" t="s">
        <v>117</v>
      </c>
      <c r="D1167" s="162" t="s">
        <v>26</v>
      </c>
      <c r="E1167" s="222" t="s">
        <v>117</v>
      </c>
      <c r="F1167" s="162" t="s">
        <v>26</v>
      </c>
      <c r="G1167" s="222" t="s">
        <v>117</v>
      </c>
      <c r="H1167" s="162" t="s">
        <v>26</v>
      </c>
      <c r="I1167" s="222" t="s">
        <v>117</v>
      </c>
      <c r="J1167" s="162" t="s">
        <v>26</v>
      </c>
      <c r="K1167" s="222" t="s">
        <v>117</v>
      </c>
      <c r="L1167" s="162" t="s">
        <v>26</v>
      </c>
      <c r="M1167" s="222" t="s">
        <v>117</v>
      </c>
      <c r="N1167" s="162" t="s">
        <v>26</v>
      </c>
    </row>
    <row r="1168" spans="2:18" x14ac:dyDescent="0.25">
      <c r="B1168" s="220" t="s">
        <v>93</v>
      </c>
      <c r="C1168" s="5">
        <v>161</v>
      </c>
      <c r="D1168" s="151"/>
      <c r="E1168" s="5">
        <v>30</v>
      </c>
      <c r="F1168" s="151"/>
      <c r="G1168" s="5">
        <v>5</v>
      </c>
      <c r="H1168" s="151"/>
      <c r="I1168" s="5">
        <v>8</v>
      </c>
      <c r="J1168" s="151"/>
      <c r="K1168" s="5">
        <v>10</v>
      </c>
      <c r="L1168" s="151"/>
      <c r="M1168" s="5">
        <v>5</v>
      </c>
      <c r="N1168" s="151"/>
    </row>
    <row r="1169" spans="2:18" x14ac:dyDescent="0.25">
      <c r="B1169" s="220">
        <v>4</v>
      </c>
      <c r="C1169" s="5">
        <v>0</v>
      </c>
      <c r="D1169" s="151"/>
      <c r="E1169" s="5">
        <v>1</v>
      </c>
      <c r="F1169" s="151"/>
      <c r="G1169" s="5">
        <v>3</v>
      </c>
      <c r="H1169" s="151"/>
      <c r="I1169" s="5">
        <v>1</v>
      </c>
      <c r="J1169" s="151"/>
      <c r="K1169" s="5">
        <v>0</v>
      </c>
      <c r="L1169" s="151"/>
      <c r="M1169" s="5">
        <v>2</v>
      </c>
      <c r="N1169" s="151"/>
    </row>
    <row r="1170" spans="2:18" x14ac:dyDescent="0.25">
      <c r="B1170" s="220">
        <v>8</v>
      </c>
      <c r="C1170" s="5">
        <v>0</v>
      </c>
      <c r="D1170" s="151"/>
      <c r="E1170" s="5">
        <v>0</v>
      </c>
      <c r="F1170" s="151"/>
      <c r="G1170" s="5">
        <v>0</v>
      </c>
      <c r="H1170" s="151"/>
      <c r="I1170" s="5">
        <v>0</v>
      </c>
      <c r="J1170" s="151"/>
      <c r="K1170" s="5">
        <v>0</v>
      </c>
      <c r="L1170" s="151"/>
      <c r="M1170" s="5">
        <v>4</v>
      </c>
      <c r="N1170" s="151"/>
    </row>
    <row r="1171" spans="2:18" x14ac:dyDescent="0.25">
      <c r="B1171" s="220">
        <v>16</v>
      </c>
      <c r="C1171" s="233">
        <v>1</v>
      </c>
      <c r="D1171" s="151"/>
      <c r="E1171" s="5">
        <v>0</v>
      </c>
      <c r="F1171" s="151"/>
      <c r="G1171" s="5">
        <v>0</v>
      </c>
      <c r="H1171" s="151"/>
      <c r="I1171" s="5">
        <v>0</v>
      </c>
      <c r="J1171" s="151"/>
      <c r="K1171" s="5">
        <v>0</v>
      </c>
      <c r="L1171" s="151"/>
      <c r="M1171" s="5">
        <v>0</v>
      </c>
      <c r="N1171" s="151"/>
    </row>
    <row r="1172" spans="2:18" x14ac:dyDescent="0.25">
      <c r="B1172" s="221" t="s">
        <v>94</v>
      </c>
      <c r="C1172" s="234">
        <v>9</v>
      </c>
      <c r="D1172" s="162"/>
      <c r="E1172" s="222">
        <v>3</v>
      </c>
      <c r="F1172" s="162"/>
      <c r="G1172" s="222">
        <v>2</v>
      </c>
      <c r="H1172" s="162"/>
      <c r="I1172" s="222">
        <v>1</v>
      </c>
      <c r="J1172" s="162"/>
      <c r="K1172" s="222">
        <v>0</v>
      </c>
      <c r="L1172" s="162"/>
      <c r="M1172" s="222">
        <v>0</v>
      </c>
      <c r="N1172" s="162"/>
    </row>
    <row r="1173" spans="2:18" x14ac:dyDescent="0.25">
      <c r="B1173" s="78"/>
      <c r="C1173" s="517"/>
      <c r="E1173" s="490"/>
      <c r="F1173" s="490"/>
      <c r="G1173" s="490"/>
      <c r="H1173" s="490"/>
      <c r="I1173" s="490"/>
      <c r="J1173" s="490"/>
      <c r="K1173" s="490"/>
      <c r="L1173" s="490"/>
      <c r="M1173" s="490"/>
      <c r="N1173" s="490"/>
    </row>
    <row r="1174" spans="2:18" x14ac:dyDescent="0.25">
      <c r="B1174" s="215" t="s">
        <v>322</v>
      </c>
      <c r="C1174" s="216" t="s">
        <v>510</v>
      </c>
      <c r="D1174" s="5"/>
      <c r="E1174" s="5"/>
      <c r="F1174" s="5"/>
      <c r="G1174" s="5"/>
      <c r="H1174" s="5"/>
      <c r="I1174" s="5"/>
      <c r="J1174" s="5"/>
      <c r="K1174" s="5"/>
      <c r="L1174" s="5"/>
      <c r="M1174" s="5"/>
      <c r="N1174" s="5"/>
      <c r="O1174" s="5"/>
      <c r="P1174" s="5"/>
      <c r="Q1174" s="5"/>
    </row>
    <row r="1175" spans="2:18" x14ac:dyDescent="0.25">
      <c r="B1175" s="218"/>
      <c r="C1175" s="518" t="s">
        <v>376</v>
      </c>
      <c r="D1175" s="236"/>
      <c r="E1175" s="518" t="s">
        <v>377</v>
      </c>
      <c r="F1175" s="236"/>
      <c r="G1175" s="518" t="s">
        <v>378</v>
      </c>
      <c r="H1175" s="236"/>
      <c r="I1175" s="518" t="s">
        <v>379</v>
      </c>
      <c r="J1175" s="236"/>
      <c r="K1175" s="518" t="s">
        <v>380</v>
      </c>
      <c r="L1175" s="236"/>
      <c r="M1175" s="518" t="s">
        <v>381</v>
      </c>
      <c r="N1175" s="236"/>
      <c r="O1175" s="5"/>
      <c r="P1175" s="5"/>
      <c r="Q1175" s="5"/>
    </row>
    <row r="1176" spans="2:18" x14ac:dyDescent="0.25">
      <c r="B1176" s="220" t="s">
        <v>267</v>
      </c>
      <c r="C1176" s="519" t="s">
        <v>521</v>
      </c>
      <c r="D1176" s="439"/>
      <c r="E1176" s="519" t="s">
        <v>521</v>
      </c>
      <c r="F1176" s="439"/>
      <c r="G1176" s="519" t="s">
        <v>521</v>
      </c>
      <c r="H1176" s="439"/>
      <c r="I1176" s="519" t="s">
        <v>521</v>
      </c>
      <c r="J1176" s="439"/>
      <c r="K1176" s="519" t="s">
        <v>521</v>
      </c>
      <c r="L1176" s="439"/>
      <c r="M1176" s="519" t="s">
        <v>521</v>
      </c>
      <c r="N1176" s="439"/>
      <c r="O1176" s="5"/>
      <c r="P1176" s="5"/>
      <c r="Q1176" s="5"/>
      <c r="R1176" s="12"/>
    </row>
    <row r="1177" spans="2:18" x14ac:dyDescent="0.25">
      <c r="B1177" s="221" t="s">
        <v>23</v>
      </c>
      <c r="C1177" s="222" t="s">
        <v>117</v>
      </c>
      <c r="D1177" s="162" t="s">
        <v>26</v>
      </c>
      <c r="E1177" s="222" t="s">
        <v>117</v>
      </c>
      <c r="F1177" s="162" t="s">
        <v>26</v>
      </c>
      <c r="G1177" s="222" t="s">
        <v>117</v>
      </c>
      <c r="H1177" s="162" t="s">
        <v>26</v>
      </c>
      <c r="I1177" s="222" t="s">
        <v>117</v>
      </c>
      <c r="J1177" s="162" t="s">
        <v>26</v>
      </c>
      <c r="K1177" s="222" t="s">
        <v>117</v>
      </c>
      <c r="L1177" s="162" t="s">
        <v>26</v>
      </c>
      <c r="M1177" s="222" t="s">
        <v>117</v>
      </c>
      <c r="N1177" s="162" t="s">
        <v>26</v>
      </c>
      <c r="O1177" s="5"/>
      <c r="P1177" s="5"/>
      <c r="Q1177" s="5"/>
    </row>
    <row r="1178" spans="2:18" x14ac:dyDescent="0.25">
      <c r="B1178" s="220" t="s">
        <v>93</v>
      </c>
      <c r="C1178" s="5">
        <v>171</v>
      </c>
      <c r="D1178" s="151"/>
      <c r="E1178" s="5">
        <v>33</v>
      </c>
      <c r="F1178" s="151"/>
      <c r="G1178" s="5">
        <v>10</v>
      </c>
      <c r="H1178" s="151"/>
      <c r="I1178" s="5">
        <v>10</v>
      </c>
      <c r="J1178" s="151"/>
      <c r="K1178" s="5">
        <v>10</v>
      </c>
      <c r="L1178" s="151"/>
      <c r="M1178" s="5">
        <v>8</v>
      </c>
      <c r="N1178" s="151"/>
      <c r="O1178" s="5"/>
      <c r="P1178" s="5"/>
      <c r="Q1178" s="5"/>
    </row>
    <row r="1179" spans="2:18" x14ac:dyDescent="0.25">
      <c r="B1179" s="220">
        <v>4</v>
      </c>
      <c r="C1179" s="5">
        <v>0</v>
      </c>
      <c r="D1179" s="151"/>
      <c r="E1179" s="5">
        <v>1</v>
      </c>
      <c r="F1179" s="151"/>
      <c r="G1179" s="5">
        <v>0</v>
      </c>
      <c r="H1179" s="151"/>
      <c r="I1179" s="5">
        <v>0</v>
      </c>
      <c r="J1179" s="151"/>
      <c r="K1179" s="5">
        <v>0</v>
      </c>
      <c r="L1179" s="151"/>
      <c r="M1179" s="5">
        <v>0</v>
      </c>
      <c r="N1179" s="151"/>
      <c r="O1179" s="5"/>
      <c r="P1179" s="5"/>
      <c r="Q1179" s="5"/>
    </row>
    <row r="1180" spans="2:18" x14ac:dyDescent="0.25">
      <c r="B1180" s="220">
        <v>8</v>
      </c>
      <c r="C1180" s="5">
        <v>0</v>
      </c>
      <c r="D1180" s="151"/>
      <c r="E1180" s="5">
        <v>0</v>
      </c>
      <c r="F1180" s="151"/>
      <c r="G1180" s="5">
        <v>0</v>
      </c>
      <c r="H1180" s="151"/>
      <c r="I1180" s="5">
        <v>0</v>
      </c>
      <c r="J1180" s="151"/>
      <c r="K1180" s="5">
        <v>0</v>
      </c>
      <c r="L1180" s="151"/>
      <c r="M1180" s="5">
        <v>0</v>
      </c>
      <c r="N1180" s="151"/>
      <c r="O1180" s="5"/>
      <c r="P1180" s="5"/>
      <c r="Q1180" s="5"/>
    </row>
    <row r="1181" spans="2:18" x14ac:dyDescent="0.25">
      <c r="B1181" s="220">
        <v>16</v>
      </c>
      <c r="C1181" s="5">
        <v>0</v>
      </c>
      <c r="D1181" s="151"/>
      <c r="E1181" s="5">
        <v>0</v>
      </c>
      <c r="F1181" s="151"/>
      <c r="G1181" s="5">
        <v>0</v>
      </c>
      <c r="H1181" s="151"/>
      <c r="I1181" s="5">
        <v>0</v>
      </c>
      <c r="J1181" s="151"/>
      <c r="K1181" s="5">
        <v>0</v>
      </c>
      <c r="L1181" s="151"/>
      <c r="M1181" s="5">
        <v>0</v>
      </c>
      <c r="N1181" s="151"/>
      <c r="O1181" s="5"/>
      <c r="P1181" s="5"/>
      <c r="Q1181" s="5"/>
      <c r="R1181" s="12"/>
    </row>
    <row r="1182" spans="2:18" x14ac:dyDescent="0.25">
      <c r="B1182" s="221" t="s">
        <v>94</v>
      </c>
      <c r="C1182" s="222">
        <v>0</v>
      </c>
      <c r="D1182" s="162"/>
      <c r="E1182" s="222">
        <v>0</v>
      </c>
      <c r="F1182" s="162"/>
      <c r="G1182" s="222">
        <v>0</v>
      </c>
      <c r="H1182" s="162"/>
      <c r="I1182" s="222">
        <v>0</v>
      </c>
      <c r="J1182" s="162"/>
      <c r="K1182" s="222">
        <v>0</v>
      </c>
      <c r="L1182" s="162"/>
      <c r="M1182" s="222">
        <v>0</v>
      </c>
      <c r="N1182" s="162"/>
      <c r="O1182" s="5"/>
      <c r="P1182" s="5"/>
      <c r="Q1182" s="5"/>
    </row>
    <row r="1183" spans="2:18" x14ac:dyDescent="0.25">
      <c r="B1183" s="230"/>
      <c r="C1183" s="5"/>
      <c r="D1183" s="5"/>
      <c r="E1183" s="5"/>
      <c r="F1183" s="5"/>
      <c r="G1183" s="5"/>
      <c r="H1183" s="5"/>
      <c r="I1183" s="5"/>
      <c r="J1183" s="5"/>
      <c r="K1183" s="5"/>
      <c r="L1183" s="5"/>
      <c r="M1183" s="5"/>
      <c r="N1183" s="5"/>
      <c r="O1183" s="5"/>
      <c r="P1183" s="5"/>
      <c r="Q1183" s="5"/>
    </row>
    <row r="1184" spans="2:18" x14ac:dyDescent="0.25">
      <c r="B1184" s="215" t="s">
        <v>324</v>
      </c>
      <c r="C1184" s="216" t="s">
        <v>510</v>
      </c>
      <c r="D1184" s="5"/>
      <c r="E1184" s="5"/>
      <c r="F1184" s="5"/>
      <c r="G1184" s="5"/>
      <c r="H1184" s="5"/>
      <c r="I1184" s="5"/>
      <c r="J1184" s="5"/>
      <c r="K1184" s="5"/>
      <c r="L1184" s="5"/>
      <c r="M1184" s="5"/>
      <c r="N1184" s="5"/>
      <c r="O1184" s="5"/>
      <c r="P1184" s="5"/>
      <c r="Q1184" s="5"/>
      <c r="R1184" s="12"/>
    </row>
    <row r="1185" spans="2:18" x14ac:dyDescent="0.25">
      <c r="B1185" s="218"/>
      <c r="C1185" s="518" t="s">
        <v>376</v>
      </c>
      <c r="D1185" s="236"/>
      <c r="E1185" s="518" t="s">
        <v>377</v>
      </c>
      <c r="F1185" s="236"/>
      <c r="G1185" s="518" t="s">
        <v>378</v>
      </c>
      <c r="H1185" s="236"/>
      <c r="I1185" s="518" t="s">
        <v>522</v>
      </c>
      <c r="J1185" s="236"/>
      <c r="K1185" s="518" t="s">
        <v>523</v>
      </c>
      <c r="L1185" s="236"/>
      <c r="M1185" s="235" t="s">
        <v>380</v>
      </c>
      <c r="N1185" s="236"/>
      <c r="O1185" s="235" t="s">
        <v>381</v>
      </c>
      <c r="P1185" s="236"/>
      <c r="Q1185" s="5"/>
    </row>
    <row r="1186" spans="2:18" x14ac:dyDescent="0.25">
      <c r="B1186" s="220" t="s">
        <v>267</v>
      </c>
      <c r="C1186" s="519" t="s">
        <v>521</v>
      </c>
      <c r="D1186" s="439"/>
      <c r="E1186" s="519" t="s">
        <v>130</v>
      </c>
      <c r="F1186" s="439"/>
      <c r="G1186" s="519" t="s">
        <v>130</v>
      </c>
      <c r="H1186" s="439"/>
      <c r="I1186" s="519" t="s">
        <v>521</v>
      </c>
      <c r="J1186" s="439"/>
      <c r="K1186" s="519" t="s">
        <v>130</v>
      </c>
      <c r="L1186" s="439"/>
      <c r="M1186" s="519" t="s">
        <v>504</v>
      </c>
      <c r="N1186" s="439"/>
      <c r="O1186" s="519" t="s">
        <v>504</v>
      </c>
      <c r="P1186" s="439"/>
      <c r="Q1186" s="5"/>
    </row>
    <row r="1187" spans="2:18" x14ac:dyDescent="0.25">
      <c r="B1187" s="221" t="s">
        <v>23</v>
      </c>
      <c r="C1187" s="222" t="s">
        <v>117</v>
      </c>
      <c r="D1187" s="162" t="s">
        <v>26</v>
      </c>
      <c r="E1187" s="222" t="s">
        <v>117</v>
      </c>
      <c r="F1187" s="162" t="s">
        <v>26</v>
      </c>
      <c r="G1187" s="222" t="s">
        <v>117</v>
      </c>
      <c r="H1187" s="162" t="s">
        <v>26</v>
      </c>
      <c r="I1187" s="222" t="s">
        <v>117</v>
      </c>
      <c r="J1187" s="162" t="s">
        <v>26</v>
      </c>
      <c r="K1187" s="222" t="s">
        <v>117</v>
      </c>
      <c r="L1187" s="162" t="s">
        <v>26</v>
      </c>
      <c r="M1187" s="222" t="s">
        <v>117</v>
      </c>
      <c r="N1187" s="162" t="s">
        <v>26</v>
      </c>
      <c r="O1187" s="222" t="s">
        <v>117</v>
      </c>
      <c r="P1187" s="162" t="s">
        <v>26</v>
      </c>
      <c r="Q1187" s="5"/>
      <c r="R1187" s="12"/>
    </row>
    <row r="1188" spans="2:18" x14ac:dyDescent="0.25">
      <c r="B1188" s="220" t="s">
        <v>82</v>
      </c>
      <c r="C1188" s="5">
        <v>171</v>
      </c>
      <c r="D1188" s="151"/>
      <c r="E1188" s="5">
        <v>34</v>
      </c>
      <c r="F1188" s="151" t="s">
        <v>524</v>
      </c>
      <c r="G1188" s="5">
        <v>9</v>
      </c>
      <c r="H1188" s="151"/>
      <c r="I1188" s="5">
        <v>5</v>
      </c>
      <c r="J1188" s="151"/>
      <c r="K1188" s="5">
        <v>5</v>
      </c>
      <c r="L1188" s="151"/>
      <c r="M1188" s="5">
        <v>1</v>
      </c>
      <c r="N1188" s="151"/>
      <c r="O1188" s="5">
        <v>8</v>
      </c>
      <c r="P1188" s="151"/>
      <c r="Q1188" s="5"/>
    </row>
    <row r="1189" spans="2:18" x14ac:dyDescent="0.25">
      <c r="B1189" s="220">
        <v>2</v>
      </c>
      <c r="C1189" s="5">
        <v>0</v>
      </c>
      <c r="D1189" s="151"/>
      <c r="E1189" s="5">
        <v>0</v>
      </c>
      <c r="F1189" s="151"/>
      <c r="G1189" s="5">
        <v>1</v>
      </c>
      <c r="H1189" s="151"/>
      <c r="I1189" s="5">
        <v>0</v>
      </c>
      <c r="J1189" s="151"/>
      <c r="K1189" s="5">
        <v>0</v>
      </c>
      <c r="L1189" s="151"/>
      <c r="M1189" s="5">
        <v>2</v>
      </c>
      <c r="N1189" s="151"/>
      <c r="O1189" s="5">
        <v>0</v>
      </c>
      <c r="P1189" s="151"/>
      <c r="Q1189" s="5"/>
    </row>
    <row r="1190" spans="2:18" x14ac:dyDescent="0.25">
      <c r="B1190" s="220">
        <v>4</v>
      </c>
      <c r="C1190" s="5">
        <v>0</v>
      </c>
      <c r="D1190" s="151"/>
      <c r="E1190" s="5">
        <v>0</v>
      </c>
      <c r="F1190" s="151"/>
      <c r="G1190" s="5">
        <v>0</v>
      </c>
      <c r="H1190" s="151"/>
      <c r="I1190" s="5">
        <v>0</v>
      </c>
      <c r="J1190" s="151"/>
      <c r="K1190" s="5">
        <v>0</v>
      </c>
      <c r="L1190" s="151"/>
      <c r="M1190" s="5">
        <v>7</v>
      </c>
      <c r="N1190" s="151"/>
      <c r="O1190" s="5">
        <v>0</v>
      </c>
      <c r="P1190" s="151"/>
      <c r="Q1190" s="5"/>
    </row>
    <row r="1191" spans="2:18" x14ac:dyDescent="0.25">
      <c r="B1191" s="220">
        <v>8</v>
      </c>
      <c r="C1191" s="5">
        <v>0</v>
      </c>
      <c r="D1191" s="151"/>
      <c r="E1191" s="5">
        <v>0</v>
      </c>
      <c r="F1191" s="151"/>
      <c r="G1191" s="5">
        <v>0</v>
      </c>
      <c r="H1191" s="151"/>
      <c r="I1191" s="5">
        <v>0</v>
      </c>
      <c r="J1191" s="151"/>
      <c r="K1191" s="5">
        <v>0</v>
      </c>
      <c r="L1191" s="151"/>
      <c r="M1191" s="5">
        <v>0</v>
      </c>
      <c r="N1191" s="151"/>
      <c r="O1191" s="5">
        <v>0</v>
      </c>
      <c r="P1191" s="151"/>
      <c r="Q1191" s="5"/>
    </row>
    <row r="1192" spans="2:18" x14ac:dyDescent="0.25">
      <c r="B1192" s="220">
        <v>16</v>
      </c>
      <c r="C1192" s="5">
        <v>0</v>
      </c>
      <c r="D1192" s="151"/>
      <c r="E1192" s="5">
        <v>0</v>
      </c>
      <c r="F1192" s="151"/>
      <c r="G1192" s="5">
        <v>0</v>
      </c>
      <c r="H1192" s="151"/>
      <c r="I1192" s="5">
        <v>0</v>
      </c>
      <c r="J1192" s="151"/>
      <c r="K1192" s="5">
        <v>0</v>
      </c>
      <c r="L1192" s="151"/>
      <c r="M1192" s="5">
        <v>0</v>
      </c>
      <c r="N1192" s="151"/>
      <c r="O1192" s="5">
        <v>0</v>
      </c>
      <c r="P1192" s="151"/>
      <c r="Q1192" s="5"/>
    </row>
    <row r="1193" spans="2:18" x14ac:dyDescent="0.25">
      <c r="B1193" s="221" t="s">
        <v>94</v>
      </c>
      <c r="C1193" s="222">
        <v>0</v>
      </c>
      <c r="D1193" s="162"/>
      <c r="E1193" s="222">
        <v>0</v>
      </c>
      <c r="F1193" s="162"/>
      <c r="G1193" s="222">
        <v>0</v>
      </c>
      <c r="H1193" s="162"/>
      <c r="I1193" s="222">
        <v>0</v>
      </c>
      <c r="J1193" s="162"/>
      <c r="K1193" s="222">
        <v>0</v>
      </c>
      <c r="L1193" s="162"/>
      <c r="M1193" s="222">
        <v>0</v>
      </c>
      <c r="N1193" s="162"/>
      <c r="O1193" s="222">
        <v>0</v>
      </c>
      <c r="P1193" s="162"/>
      <c r="Q1193" s="5"/>
    </row>
    <row r="1194" spans="2:18" x14ac:dyDescent="0.25">
      <c r="B1194" s="78"/>
    </row>
    <row r="1195" spans="2:18" x14ac:dyDescent="0.25">
      <c r="B1195" s="215" t="s">
        <v>525</v>
      </c>
      <c r="C1195" s="216" t="s">
        <v>510</v>
      </c>
      <c r="D1195" s="5"/>
      <c r="E1195" s="5"/>
      <c r="F1195" s="5"/>
      <c r="G1195" s="5"/>
      <c r="H1195" s="5"/>
      <c r="I1195" s="5"/>
      <c r="J1195" s="5"/>
      <c r="K1195" s="5"/>
      <c r="L1195" s="5"/>
      <c r="M1195" s="5"/>
      <c r="N1195" s="5"/>
      <c r="O1195" s="5"/>
      <c r="P1195" s="5"/>
    </row>
    <row r="1196" spans="2:18" x14ac:dyDescent="0.25">
      <c r="B1196" s="218"/>
      <c r="C1196" s="520" t="s">
        <v>526</v>
      </c>
      <c r="D1196" s="207"/>
      <c r="E1196" s="520" t="s">
        <v>520</v>
      </c>
      <c r="F1196" s="207"/>
      <c r="G1196" s="235" t="s">
        <v>494</v>
      </c>
      <c r="H1196" s="236"/>
      <c r="I1196" s="235" t="s">
        <v>501</v>
      </c>
      <c r="J1196" s="236"/>
      <c r="K1196" s="235" t="s">
        <v>380</v>
      </c>
      <c r="L1196" s="236"/>
      <c r="M1196" s="235" t="s">
        <v>503</v>
      </c>
      <c r="N1196" s="236"/>
      <c r="Q1196" s="521"/>
      <c r="R1196" s="521"/>
    </row>
    <row r="1197" spans="2:18" x14ac:dyDescent="0.25">
      <c r="B1197" s="220" t="s">
        <v>267</v>
      </c>
      <c r="C1197" s="209" t="s">
        <v>129</v>
      </c>
      <c r="D1197" s="445"/>
      <c r="E1197" s="209" t="s">
        <v>129</v>
      </c>
      <c r="F1197" s="445"/>
      <c r="G1197" s="438" t="s">
        <v>129</v>
      </c>
      <c r="H1197" s="439"/>
      <c r="I1197" s="438" t="s">
        <v>129</v>
      </c>
      <c r="J1197" s="439"/>
      <c r="K1197" s="438" t="s">
        <v>129</v>
      </c>
      <c r="L1197" s="439"/>
      <c r="M1197" s="438" t="s">
        <v>129</v>
      </c>
      <c r="N1197" s="439"/>
      <c r="Q1197" s="521"/>
      <c r="R1197" s="521"/>
    </row>
    <row r="1198" spans="2:18" x14ac:dyDescent="0.25">
      <c r="B1198" s="221" t="s">
        <v>23</v>
      </c>
      <c r="C1198" s="222" t="s">
        <v>117</v>
      </c>
      <c r="D1198" s="162" t="s">
        <v>26</v>
      </c>
      <c r="E1198" s="222" t="s">
        <v>117</v>
      </c>
      <c r="F1198" s="162" t="s">
        <v>26</v>
      </c>
      <c r="G1198" s="222" t="s">
        <v>117</v>
      </c>
      <c r="H1198" s="162" t="s">
        <v>26</v>
      </c>
      <c r="I1198" s="222" t="s">
        <v>117</v>
      </c>
      <c r="J1198" s="162" t="s">
        <v>26</v>
      </c>
      <c r="K1198" s="213" t="s">
        <v>117</v>
      </c>
      <c r="L1198" s="162" t="s">
        <v>26</v>
      </c>
      <c r="M1198" s="222" t="s">
        <v>117</v>
      </c>
      <c r="N1198" s="162" t="s">
        <v>26</v>
      </c>
    </row>
    <row r="1199" spans="2:18" x14ac:dyDescent="0.25">
      <c r="B1199" s="218" t="s">
        <v>389</v>
      </c>
      <c r="C1199" s="5">
        <v>160</v>
      </c>
      <c r="D1199" s="151" t="s">
        <v>527</v>
      </c>
      <c r="E1199" s="5">
        <v>34</v>
      </c>
      <c r="F1199" s="151" t="s">
        <v>467</v>
      </c>
      <c r="G1199" s="5">
        <v>10</v>
      </c>
      <c r="H1199" s="151"/>
      <c r="I1199" s="5">
        <v>10</v>
      </c>
      <c r="J1199" s="151"/>
      <c r="K1199" s="5">
        <v>10</v>
      </c>
      <c r="L1199" s="145"/>
      <c r="M1199" s="5">
        <v>8</v>
      </c>
      <c r="N1199" s="145" t="s">
        <v>528</v>
      </c>
    </row>
    <row r="1200" spans="2:18" x14ac:dyDescent="0.25">
      <c r="B1200" s="220">
        <v>8</v>
      </c>
      <c r="C1200" s="233">
        <v>2</v>
      </c>
      <c r="D1200" s="151" t="s">
        <v>529</v>
      </c>
      <c r="E1200" s="5">
        <v>0</v>
      </c>
      <c r="F1200" s="151"/>
      <c r="G1200" s="5">
        <v>0</v>
      </c>
      <c r="H1200" s="151"/>
      <c r="I1200" s="5">
        <v>0</v>
      </c>
      <c r="J1200" s="151"/>
      <c r="K1200" s="5">
        <v>0</v>
      </c>
      <c r="L1200" s="151"/>
      <c r="M1200" s="5">
        <v>0</v>
      </c>
      <c r="N1200" s="151"/>
    </row>
    <row r="1201" spans="2:38" x14ac:dyDescent="0.25">
      <c r="B1201" s="221" t="s">
        <v>87</v>
      </c>
      <c r="C1201" s="234">
        <v>9</v>
      </c>
      <c r="D1201" s="162" t="s">
        <v>530</v>
      </c>
      <c r="E1201" s="222">
        <v>0</v>
      </c>
      <c r="F1201" s="162"/>
      <c r="G1201" s="222">
        <v>0</v>
      </c>
      <c r="H1201" s="162"/>
      <c r="I1201" s="222">
        <v>0</v>
      </c>
      <c r="J1201" s="162"/>
      <c r="K1201" s="222">
        <v>0</v>
      </c>
      <c r="L1201" s="162"/>
      <c r="M1201" s="222">
        <v>0</v>
      </c>
      <c r="N1201" s="162"/>
    </row>
    <row r="1202" spans="2:38" x14ac:dyDescent="0.25">
      <c r="B1202" s="78"/>
    </row>
    <row r="1203" spans="2:38" x14ac:dyDescent="0.25">
      <c r="B1203" s="216" t="s">
        <v>270</v>
      </c>
      <c r="C1203" s="215" t="s">
        <v>130</v>
      </c>
      <c r="D1203" s="231"/>
      <c r="J1203" s="78"/>
      <c r="O1203" s="231"/>
    </row>
    <row r="1204" spans="2:38" ht="18.75" x14ac:dyDescent="0.3">
      <c r="B1204" s="146"/>
      <c r="C1204" s="518" t="s">
        <v>376</v>
      </c>
      <c r="D1204" s="236"/>
      <c r="E1204" s="518" t="s">
        <v>377</v>
      </c>
      <c r="F1204" s="236"/>
      <c r="G1204" s="518" t="s">
        <v>378</v>
      </c>
      <c r="H1204" s="236"/>
      <c r="I1204" s="518" t="s">
        <v>379</v>
      </c>
      <c r="J1204" s="236"/>
      <c r="K1204" s="235" t="s">
        <v>380</v>
      </c>
      <c r="L1204" s="236"/>
      <c r="M1204" s="235" t="s">
        <v>381</v>
      </c>
      <c r="N1204" s="236"/>
      <c r="P1204" s="9"/>
      <c r="AL1204" s="9"/>
    </row>
    <row r="1205" spans="2:38" x14ac:dyDescent="0.25">
      <c r="B1205" s="220" t="s">
        <v>267</v>
      </c>
      <c r="C1205" s="5" t="s">
        <v>130</v>
      </c>
      <c r="D1205" s="151"/>
      <c r="E1205" s="5" t="s">
        <v>130</v>
      </c>
      <c r="F1205" s="151"/>
      <c r="G1205" s="5" t="s">
        <v>130</v>
      </c>
      <c r="H1205" s="151"/>
      <c r="I1205" s="5" t="s">
        <v>130</v>
      </c>
      <c r="J1205" s="149"/>
      <c r="K1205" s="5" t="s">
        <v>498</v>
      </c>
      <c r="L1205" s="151"/>
      <c r="M1205" s="519" t="s">
        <v>504</v>
      </c>
      <c r="N1205" s="439"/>
    </row>
    <row r="1206" spans="2:38" x14ac:dyDescent="0.25">
      <c r="B1206" s="376" t="s">
        <v>23</v>
      </c>
      <c r="C1206" s="222"/>
      <c r="D1206" s="346" t="s">
        <v>26</v>
      </c>
      <c r="E1206" s="522"/>
      <c r="F1206" s="346" t="s">
        <v>26</v>
      </c>
      <c r="G1206" s="523"/>
      <c r="H1206" s="346" t="s">
        <v>26</v>
      </c>
      <c r="I1206" s="522"/>
      <c r="J1206" s="346" t="s">
        <v>26</v>
      </c>
      <c r="K1206" s="522"/>
      <c r="L1206" s="346" t="s">
        <v>26</v>
      </c>
      <c r="M1206" s="522"/>
      <c r="N1206" s="524" t="s">
        <v>26</v>
      </c>
    </row>
    <row r="1207" spans="2:38" x14ac:dyDescent="0.25">
      <c r="B1207" s="220" t="s">
        <v>46</v>
      </c>
      <c r="C1207" s="225">
        <v>2</v>
      </c>
      <c r="D1207" s="151"/>
      <c r="E1207" s="5">
        <v>0</v>
      </c>
      <c r="F1207" s="151"/>
      <c r="G1207" s="5">
        <v>0</v>
      </c>
      <c r="H1207" s="151"/>
      <c r="I1207" s="5">
        <v>0</v>
      </c>
      <c r="J1207" s="149"/>
      <c r="K1207" s="5"/>
      <c r="L1207" s="151"/>
      <c r="M1207" s="5">
        <v>0</v>
      </c>
      <c r="N1207" s="151"/>
    </row>
    <row r="1208" spans="2:38" x14ac:dyDescent="0.25">
      <c r="B1208" s="475">
        <v>1</v>
      </c>
      <c r="C1208" s="225">
        <v>58</v>
      </c>
      <c r="D1208" s="151"/>
      <c r="E1208" s="225">
        <v>9</v>
      </c>
      <c r="F1208" s="151"/>
      <c r="G1208" s="5">
        <v>0</v>
      </c>
      <c r="H1208" s="151"/>
      <c r="I1208" s="225">
        <v>2</v>
      </c>
      <c r="J1208" s="525"/>
      <c r="K1208" s="5"/>
      <c r="L1208" s="151"/>
      <c r="M1208" s="5">
        <v>0</v>
      </c>
      <c r="N1208" s="151"/>
      <c r="Y1208" s="516"/>
      <c r="AF1208" s="516"/>
    </row>
    <row r="1209" spans="2:38" x14ac:dyDescent="0.25">
      <c r="B1209" s="220">
        <v>2</v>
      </c>
      <c r="C1209" s="225">
        <v>60</v>
      </c>
      <c r="D1209" s="151"/>
      <c r="E1209" s="225">
        <v>19</v>
      </c>
      <c r="F1209" s="151"/>
      <c r="G1209" s="225">
        <v>7</v>
      </c>
      <c r="H1209" s="151"/>
      <c r="I1209" s="225">
        <v>8</v>
      </c>
      <c r="J1209" s="149"/>
      <c r="K1209" s="5"/>
      <c r="L1209" s="151"/>
      <c r="M1209" s="225">
        <v>2</v>
      </c>
      <c r="N1209" s="151"/>
    </row>
    <row r="1210" spans="2:38" x14ac:dyDescent="0.25">
      <c r="B1210" s="220">
        <v>4</v>
      </c>
      <c r="C1210" s="225">
        <v>6</v>
      </c>
      <c r="D1210" s="151"/>
      <c r="E1210" s="225">
        <v>3</v>
      </c>
      <c r="F1210" s="151"/>
      <c r="G1210" s="225">
        <v>2</v>
      </c>
      <c r="H1210" s="151"/>
      <c r="I1210" s="5">
        <v>0</v>
      </c>
      <c r="J1210" s="149"/>
      <c r="K1210" s="5"/>
      <c r="L1210" s="151"/>
      <c r="M1210" s="5">
        <v>0</v>
      </c>
      <c r="N1210" s="151"/>
    </row>
    <row r="1211" spans="2:38" x14ac:dyDescent="0.25">
      <c r="B1211" s="220">
        <v>8</v>
      </c>
      <c r="C1211" s="5">
        <v>0</v>
      </c>
      <c r="D1211" s="151"/>
      <c r="E1211" s="225">
        <v>1</v>
      </c>
      <c r="F1211" s="151"/>
      <c r="G1211" s="5">
        <v>0</v>
      </c>
      <c r="H1211" s="151"/>
      <c r="I1211" s="5">
        <v>0</v>
      </c>
      <c r="J1211" s="149"/>
      <c r="K1211" s="5">
        <v>2</v>
      </c>
      <c r="L1211" s="151" t="s">
        <v>531</v>
      </c>
      <c r="M1211" s="5">
        <v>0</v>
      </c>
      <c r="N1211" s="151"/>
    </row>
    <row r="1212" spans="2:38" x14ac:dyDescent="0.25">
      <c r="B1212" s="220">
        <v>16</v>
      </c>
      <c r="C1212" s="5">
        <v>0</v>
      </c>
      <c r="D1212" s="151"/>
      <c r="E1212" s="5">
        <v>0</v>
      </c>
      <c r="F1212" s="151"/>
      <c r="G1212" s="225">
        <v>1</v>
      </c>
      <c r="H1212" s="151"/>
      <c r="I1212" s="5">
        <v>0</v>
      </c>
      <c r="J1212" s="149"/>
      <c r="K1212" s="5"/>
      <c r="L1212" s="151"/>
      <c r="M1212" s="5">
        <v>0</v>
      </c>
      <c r="N1212" s="151"/>
    </row>
    <row r="1213" spans="2:38" x14ac:dyDescent="0.25">
      <c r="B1213" s="221" t="s">
        <v>94</v>
      </c>
      <c r="C1213" s="526">
        <v>45</v>
      </c>
      <c r="D1213" s="162" t="s">
        <v>532</v>
      </c>
      <c r="E1213" s="526">
        <v>2</v>
      </c>
      <c r="F1213" s="162" t="s">
        <v>533</v>
      </c>
      <c r="G1213" s="222">
        <v>0</v>
      </c>
      <c r="H1213" s="162"/>
      <c r="I1213" s="222">
        <v>0</v>
      </c>
      <c r="J1213" s="161"/>
      <c r="K1213" s="222">
        <v>8</v>
      </c>
      <c r="L1213" s="162" t="s">
        <v>534</v>
      </c>
      <c r="M1213" s="526" t="s">
        <v>535</v>
      </c>
      <c r="N1213" s="162" t="s">
        <v>536</v>
      </c>
    </row>
    <row r="1214" spans="2:38" x14ac:dyDescent="0.25">
      <c r="B1214" s="230"/>
      <c r="C1214" s="5"/>
      <c r="D1214" s="5"/>
      <c r="E1214" s="5"/>
      <c r="F1214" s="5"/>
      <c r="G1214" s="5"/>
      <c r="H1214" s="5"/>
      <c r="I1214" s="5"/>
      <c r="J1214" s="230"/>
      <c r="K1214" s="5"/>
      <c r="L1214" s="5"/>
      <c r="M1214" s="5"/>
      <c r="N1214" s="5"/>
      <c r="AL1214" s="78"/>
    </row>
    <row r="1215" spans="2:38" x14ac:dyDescent="0.25">
      <c r="B1215" s="216" t="s">
        <v>537</v>
      </c>
      <c r="C1215" s="216" t="s">
        <v>538</v>
      </c>
      <c r="D1215" s="5"/>
      <c r="E1215" s="5"/>
      <c r="F1215" s="5"/>
      <c r="G1215" s="5"/>
      <c r="H1215" s="5"/>
      <c r="I1215" s="5"/>
      <c r="J1215" s="5"/>
      <c r="K1215" s="5"/>
      <c r="L1215" s="5"/>
      <c r="M1215" s="5"/>
      <c r="N1215" s="5"/>
      <c r="P1215" s="231"/>
    </row>
    <row r="1216" spans="2:38" x14ac:dyDescent="0.25">
      <c r="B1216" s="146"/>
      <c r="C1216" s="527" t="s">
        <v>376</v>
      </c>
      <c r="D1216" s="528"/>
      <c r="E1216" s="527" t="s">
        <v>377</v>
      </c>
      <c r="F1216" s="528"/>
      <c r="G1216" s="527" t="s">
        <v>378</v>
      </c>
      <c r="H1216" s="528"/>
      <c r="I1216" s="527" t="s">
        <v>379</v>
      </c>
      <c r="J1216" s="528"/>
      <c r="K1216" s="527" t="s">
        <v>380</v>
      </c>
      <c r="L1216" s="528"/>
      <c r="M1216" s="527" t="s">
        <v>381</v>
      </c>
      <c r="N1216" s="528"/>
    </row>
    <row r="1217" spans="2:42" x14ac:dyDescent="0.25">
      <c r="B1217" s="220" t="s">
        <v>267</v>
      </c>
      <c r="C1217" s="519" t="s">
        <v>130</v>
      </c>
      <c r="D1217" s="439"/>
      <c r="E1217" s="519" t="s">
        <v>130</v>
      </c>
      <c r="F1217" s="439"/>
      <c r="G1217" s="519" t="s">
        <v>504</v>
      </c>
      <c r="H1217" s="439"/>
      <c r="I1217" s="519" t="s">
        <v>504</v>
      </c>
      <c r="J1217" s="439"/>
      <c r="K1217" s="519" t="s">
        <v>130</v>
      </c>
      <c r="L1217" s="439"/>
      <c r="M1217" s="519" t="s">
        <v>504</v>
      </c>
      <c r="N1217" s="439"/>
      <c r="O1217" s="5"/>
    </row>
    <row r="1218" spans="2:42" x14ac:dyDescent="0.25">
      <c r="B1218" s="210" t="s">
        <v>23</v>
      </c>
      <c r="C1218" s="222" t="s">
        <v>117</v>
      </c>
      <c r="D1218" s="162" t="s">
        <v>26</v>
      </c>
      <c r="E1218" s="222" t="s">
        <v>117</v>
      </c>
      <c r="F1218" s="162" t="s">
        <v>26</v>
      </c>
      <c r="G1218" s="222" t="s">
        <v>117</v>
      </c>
      <c r="H1218" s="162" t="s">
        <v>26</v>
      </c>
      <c r="I1218" s="222" t="s">
        <v>117</v>
      </c>
      <c r="J1218" s="162" t="s">
        <v>26</v>
      </c>
      <c r="K1218" s="222" t="s">
        <v>117</v>
      </c>
      <c r="L1218" s="162" t="s">
        <v>26</v>
      </c>
      <c r="M1218" s="222" t="s">
        <v>117</v>
      </c>
      <c r="N1218" s="162" t="s">
        <v>26</v>
      </c>
    </row>
    <row r="1219" spans="2:42" x14ac:dyDescent="0.25">
      <c r="B1219" s="152" t="s">
        <v>389</v>
      </c>
      <c r="C1219" s="5">
        <v>126</v>
      </c>
      <c r="D1219" s="151"/>
      <c r="E1219" s="5">
        <v>32</v>
      </c>
      <c r="F1219" s="151" t="s">
        <v>539</v>
      </c>
      <c r="G1219" s="5">
        <v>1</v>
      </c>
      <c r="H1219" s="151" t="s">
        <v>540</v>
      </c>
      <c r="I1219" s="5">
        <v>5</v>
      </c>
      <c r="J1219" s="151"/>
      <c r="K1219" s="5">
        <v>9</v>
      </c>
      <c r="L1219" s="151"/>
      <c r="M1219" s="5">
        <v>4</v>
      </c>
      <c r="N1219" s="151"/>
      <c r="AB1219" s="521"/>
      <c r="AD1219" s="521"/>
      <c r="AI1219" s="521"/>
      <c r="AK1219" s="521"/>
      <c r="AP1219" s="521"/>
    </row>
    <row r="1220" spans="2:42" x14ac:dyDescent="0.25">
      <c r="B1220" s="515">
        <v>8</v>
      </c>
      <c r="C1220" s="5">
        <v>39</v>
      </c>
      <c r="D1220" s="151"/>
      <c r="E1220" s="5">
        <v>1</v>
      </c>
      <c r="F1220" s="151"/>
      <c r="G1220" s="5"/>
      <c r="H1220" s="151"/>
      <c r="I1220" s="5">
        <v>1</v>
      </c>
      <c r="J1220" s="529" t="s">
        <v>541</v>
      </c>
      <c r="K1220" s="5">
        <v>1</v>
      </c>
      <c r="L1220" s="151"/>
      <c r="M1220" s="5">
        <v>2</v>
      </c>
      <c r="N1220" s="151" t="s">
        <v>542</v>
      </c>
      <c r="Q1220" s="516"/>
      <c r="X1220" s="516"/>
      <c r="AB1220" s="521"/>
      <c r="AD1220" s="521"/>
      <c r="AE1220" s="516"/>
      <c r="AI1220" s="521"/>
      <c r="AK1220" s="521"/>
      <c r="AL1220" s="516"/>
      <c r="AP1220" s="521"/>
    </row>
    <row r="1221" spans="2:42" x14ac:dyDescent="0.25">
      <c r="B1221" s="152">
        <v>16</v>
      </c>
      <c r="C1221" s="5">
        <v>4</v>
      </c>
      <c r="D1221" s="151"/>
      <c r="E1221" s="5">
        <v>0</v>
      </c>
      <c r="F1221" s="151"/>
      <c r="G1221" s="5"/>
      <c r="H1221" s="151"/>
      <c r="I1221" s="5"/>
      <c r="J1221" s="151"/>
      <c r="K1221" s="5"/>
      <c r="L1221" s="151"/>
      <c r="M1221" s="5">
        <v>0</v>
      </c>
      <c r="N1221" s="151"/>
      <c r="AB1221" s="521"/>
      <c r="AD1221" s="521"/>
      <c r="AI1221" s="521"/>
      <c r="AK1221" s="521"/>
      <c r="AP1221" s="521"/>
    </row>
    <row r="1222" spans="2:42" x14ac:dyDescent="0.25">
      <c r="B1222" s="152">
        <v>32</v>
      </c>
      <c r="C1222" s="5">
        <v>1</v>
      </c>
      <c r="D1222" s="151"/>
      <c r="E1222" s="5">
        <v>1</v>
      </c>
      <c r="F1222" s="151"/>
      <c r="G1222" s="5"/>
      <c r="H1222" s="151"/>
      <c r="I1222" s="5"/>
      <c r="J1222" s="151"/>
      <c r="K1222" s="5"/>
      <c r="L1222" s="151"/>
      <c r="M1222" s="5">
        <v>1</v>
      </c>
      <c r="N1222" s="151"/>
      <c r="AB1222" s="521"/>
      <c r="AD1222" s="521"/>
      <c r="AI1222" s="521"/>
      <c r="AK1222" s="521"/>
      <c r="AP1222" s="521"/>
    </row>
    <row r="1223" spans="2:42" x14ac:dyDescent="0.25">
      <c r="B1223" s="210" t="s">
        <v>101</v>
      </c>
      <c r="C1223" s="222">
        <v>1</v>
      </c>
      <c r="D1223" s="162" t="s">
        <v>406</v>
      </c>
      <c r="E1223" s="222">
        <v>0</v>
      </c>
      <c r="F1223" s="162"/>
      <c r="G1223" s="222">
        <v>9</v>
      </c>
      <c r="H1223" s="162" t="s">
        <v>543</v>
      </c>
      <c r="I1223" s="222">
        <v>4</v>
      </c>
      <c r="J1223" s="162" t="s">
        <v>544</v>
      </c>
      <c r="K1223" s="222"/>
      <c r="L1223" s="162"/>
      <c r="M1223" s="222">
        <v>1</v>
      </c>
      <c r="N1223" s="162" t="s">
        <v>545</v>
      </c>
      <c r="AB1223" s="521"/>
      <c r="AD1223" s="521"/>
      <c r="AI1223" s="521"/>
      <c r="AK1223" s="521"/>
      <c r="AP1223" s="521"/>
    </row>
    <row r="1224" spans="2:42" x14ac:dyDescent="0.25">
      <c r="B1224" s="230"/>
      <c r="C1224" s="5"/>
      <c r="D1224" s="5"/>
      <c r="E1224" s="5"/>
      <c r="F1224" s="5"/>
      <c r="G1224" s="5"/>
      <c r="H1224" s="5"/>
      <c r="I1224" s="5"/>
      <c r="J1224" s="5"/>
      <c r="K1224" s="5"/>
      <c r="L1224" s="5"/>
      <c r="M1224" s="5"/>
      <c r="N1224" s="5"/>
    </row>
    <row r="1225" spans="2:42" x14ac:dyDescent="0.25">
      <c r="B1225" s="215" t="s">
        <v>546</v>
      </c>
      <c r="C1225" s="385" t="s">
        <v>130</v>
      </c>
      <c r="D1225" s="5"/>
      <c r="E1225" s="5"/>
      <c r="F1225" s="5"/>
      <c r="G1225" s="5"/>
      <c r="H1225" s="5"/>
      <c r="I1225" s="5"/>
      <c r="J1225" s="5"/>
      <c r="K1225" s="5"/>
      <c r="L1225" s="5"/>
      <c r="M1225" s="5"/>
      <c r="N1225" s="5"/>
      <c r="O1225" s="5"/>
      <c r="P1225" s="5"/>
      <c r="Q1225" s="5"/>
    </row>
    <row r="1226" spans="2:42" x14ac:dyDescent="0.25">
      <c r="B1226" s="218"/>
      <c r="C1226" s="518" t="s">
        <v>376</v>
      </c>
      <c r="D1226" s="236"/>
      <c r="E1226" s="518" t="s">
        <v>377</v>
      </c>
      <c r="F1226" s="236"/>
      <c r="G1226" s="518" t="s">
        <v>378</v>
      </c>
      <c r="H1226" s="236"/>
      <c r="I1226" s="518" t="s">
        <v>379</v>
      </c>
      <c r="J1226" s="236"/>
      <c r="K1226" s="384" t="s">
        <v>380</v>
      </c>
      <c r="L1226" s="145"/>
      <c r="M1226" s="384" t="s">
        <v>381</v>
      </c>
      <c r="N1226" s="145"/>
      <c r="Q1226" s="5"/>
    </row>
    <row r="1227" spans="2:42" x14ac:dyDescent="0.25">
      <c r="B1227" s="220" t="s">
        <v>267</v>
      </c>
      <c r="C1227" s="519" t="s">
        <v>130</v>
      </c>
      <c r="D1227" s="439"/>
      <c r="E1227" s="519" t="s">
        <v>130</v>
      </c>
      <c r="F1227" s="439"/>
      <c r="G1227" s="519" t="s">
        <v>504</v>
      </c>
      <c r="H1227" s="439"/>
      <c r="I1227" s="519" t="s">
        <v>504</v>
      </c>
      <c r="J1227" s="439"/>
      <c r="K1227" s="519" t="s">
        <v>130</v>
      </c>
      <c r="L1227" s="439"/>
      <c r="M1227" s="519" t="s">
        <v>504</v>
      </c>
      <c r="N1227" s="439"/>
      <c r="O1227" s="521"/>
      <c r="P1227" s="521"/>
      <c r="Q1227" s="5"/>
    </row>
    <row r="1228" spans="2:42" x14ac:dyDescent="0.25">
      <c r="B1228" s="221" t="s">
        <v>23</v>
      </c>
      <c r="C1228" s="222" t="s">
        <v>117</v>
      </c>
      <c r="D1228" s="162" t="s">
        <v>26</v>
      </c>
      <c r="E1228" s="222" t="s">
        <v>117</v>
      </c>
      <c r="F1228" s="162" t="s">
        <v>26</v>
      </c>
      <c r="G1228" s="222" t="s">
        <v>117</v>
      </c>
      <c r="H1228" s="162" t="s">
        <v>26</v>
      </c>
      <c r="I1228" s="222" t="s">
        <v>117</v>
      </c>
      <c r="J1228" s="162" t="s">
        <v>26</v>
      </c>
      <c r="K1228" s="222" t="s">
        <v>117</v>
      </c>
      <c r="L1228" s="162" t="s">
        <v>26</v>
      </c>
      <c r="M1228" s="222" t="s">
        <v>117</v>
      </c>
      <c r="N1228" s="162" t="s">
        <v>26</v>
      </c>
      <c r="Q1228" s="5"/>
      <c r="R1228" s="12"/>
    </row>
    <row r="1229" spans="2:42" x14ac:dyDescent="0.25">
      <c r="B1229" s="220" t="s">
        <v>93</v>
      </c>
      <c r="C1229" s="5">
        <v>2</v>
      </c>
      <c r="D1229" s="151"/>
      <c r="E1229" s="5">
        <v>9</v>
      </c>
      <c r="F1229" s="151" t="s">
        <v>547</v>
      </c>
      <c r="G1229" s="5">
        <v>0</v>
      </c>
      <c r="H1229" s="151"/>
      <c r="I1229" s="5">
        <v>0</v>
      </c>
      <c r="J1229" s="151"/>
      <c r="K1229" s="5">
        <v>3</v>
      </c>
      <c r="L1229" s="151"/>
      <c r="M1229" s="5">
        <v>0</v>
      </c>
      <c r="N1229" s="151"/>
      <c r="Q1229" s="5"/>
    </row>
    <row r="1230" spans="2:42" x14ac:dyDescent="0.25">
      <c r="B1230" s="220">
        <v>4</v>
      </c>
      <c r="C1230" s="5">
        <v>12</v>
      </c>
      <c r="D1230" s="151" t="s">
        <v>548</v>
      </c>
      <c r="E1230" s="5">
        <v>8</v>
      </c>
      <c r="F1230" s="151" t="s">
        <v>549</v>
      </c>
      <c r="G1230" s="5">
        <v>0</v>
      </c>
      <c r="H1230" s="151"/>
      <c r="I1230" s="5">
        <v>4</v>
      </c>
      <c r="J1230" s="151" t="s">
        <v>550</v>
      </c>
      <c r="K1230" s="5">
        <v>3</v>
      </c>
      <c r="L1230" s="151"/>
      <c r="M1230" s="5">
        <v>1</v>
      </c>
      <c r="N1230" s="151"/>
      <c r="Q1230" s="5"/>
    </row>
    <row r="1231" spans="2:42" x14ac:dyDescent="0.25">
      <c r="B1231" s="220">
        <v>8</v>
      </c>
      <c r="C1231" s="5">
        <v>73</v>
      </c>
      <c r="D1231" s="151" t="s">
        <v>551</v>
      </c>
      <c r="E1231" s="5">
        <v>9</v>
      </c>
      <c r="F1231" s="151" t="s">
        <v>552</v>
      </c>
      <c r="G1231" s="5">
        <v>0</v>
      </c>
      <c r="H1231" s="151"/>
      <c r="I1231" s="5">
        <v>1</v>
      </c>
      <c r="J1231" s="151" t="s">
        <v>553</v>
      </c>
      <c r="K1231" s="5">
        <v>4</v>
      </c>
      <c r="L1231" s="151" t="s">
        <v>554</v>
      </c>
      <c r="M1231" s="5">
        <v>1</v>
      </c>
      <c r="N1231" s="151" t="s">
        <v>555</v>
      </c>
      <c r="Q1231" s="5"/>
      <c r="R1231" s="12"/>
    </row>
    <row r="1232" spans="2:42" x14ac:dyDescent="0.25">
      <c r="B1232" s="220">
        <v>16</v>
      </c>
      <c r="C1232" s="5">
        <v>56</v>
      </c>
      <c r="D1232" s="151" t="s">
        <v>556</v>
      </c>
      <c r="E1232" s="5">
        <v>2</v>
      </c>
      <c r="F1232" s="151" t="s">
        <v>557</v>
      </c>
      <c r="G1232" s="5">
        <v>0</v>
      </c>
      <c r="H1232" s="151"/>
      <c r="I1232" s="5">
        <v>0</v>
      </c>
      <c r="J1232" s="151"/>
      <c r="K1232" s="5">
        <v>0</v>
      </c>
      <c r="L1232" s="151"/>
      <c r="M1232" s="5">
        <v>0</v>
      </c>
      <c r="N1232" s="151"/>
      <c r="Q1232" s="5"/>
    </row>
    <row r="1233" spans="2:17" x14ac:dyDescent="0.25">
      <c r="B1233" s="221" t="s">
        <v>94</v>
      </c>
      <c r="C1233" s="222">
        <v>28</v>
      </c>
      <c r="D1233" s="162" t="s">
        <v>558</v>
      </c>
      <c r="E1233" s="222">
        <v>6</v>
      </c>
      <c r="F1233" s="162" t="s">
        <v>559</v>
      </c>
      <c r="G1233" s="222">
        <v>10</v>
      </c>
      <c r="H1233" s="162" t="s">
        <v>560</v>
      </c>
      <c r="I1233" s="222">
        <v>5</v>
      </c>
      <c r="J1233" s="162"/>
      <c r="K1233" s="222">
        <v>0</v>
      </c>
      <c r="L1233" s="162"/>
      <c r="M1233" s="222">
        <v>6</v>
      </c>
      <c r="N1233" s="162"/>
      <c r="Q1233" s="5"/>
    </row>
    <row r="1237" spans="2:17" s="7" customFormat="1" ht="18.75" x14ac:dyDescent="0.3">
      <c r="B1237" s="8" t="s">
        <v>561</v>
      </c>
    </row>
    <row r="1240" spans="2:17" ht="19.5" thickBot="1" x14ac:dyDescent="0.35">
      <c r="B1240" s="9" t="s">
        <v>562</v>
      </c>
      <c r="C1240" s="78"/>
      <c r="D1240" s="12"/>
    </row>
    <row r="1241" spans="2:17" x14ac:dyDescent="0.25">
      <c r="B1241" s="20" t="s">
        <v>22</v>
      </c>
      <c r="C1241" s="21" t="s">
        <v>23</v>
      </c>
      <c r="D1241" s="21" t="s">
        <v>24</v>
      </c>
      <c r="E1241" s="21" t="s">
        <v>25</v>
      </c>
      <c r="F1241" s="22" t="s">
        <v>26</v>
      </c>
      <c r="G1241" s="23" t="s">
        <v>27</v>
      </c>
    </row>
    <row r="1242" spans="2:17" x14ac:dyDescent="0.25">
      <c r="B1242" s="60" t="s">
        <v>31</v>
      </c>
      <c r="C1242" s="48" t="s">
        <v>397</v>
      </c>
      <c r="D1242" s="58">
        <v>20</v>
      </c>
      <c r="E1242" s="59">
        <v>0</v>
      </c>
      <c r="F1242" s="59"/>
      <c r="G1242" s="118">
        <v>20</v>
      </c>
    </row>
    <row r="1243" spans="2:17" x14ac:dyDescent="0.25">
      <c r="B1243" s="29" t="s">
        <v>32</v>
      </c>
      <c r="C1243" s="481">
        <v>32</v>
      </c>
      <c r="D1243" s="40">
        <v>1</v>
      </c>
      <c r="E1243" s="41">
        <v>0</v>
      </c>
      <c r="F1243" s="41"/>
      <c r="G1243" s="120">
        <v>1</v>
      </c>
    </row>
    <row r="1244" spans="2:17" x14ac:dyDescent="0.25">
      <c r="B1244" s="42"/>
      <c r="C1244" s="30">
        <v>64</v>
      </c>
      <c r="D1244" s="41">
        <v>0</v>
      </c>
      <c r="E1244" s="41">
        <v>0</v>
      </c>
      <c r="F1244" s="41"/>
      <c r="G1244" s="135"/>
    </row>
    <row r="1245" spans="2:17" x14ac:dyDescent="0.25">
      <c r="B1245" s="42"/>
      <c r="C1245" s="30">
        <v>128</v>
      </c>
      <c r="D1245" s="41">
        <v>0</v>
      </c>
      <c r="E1245" s="41">
        <v>0</v>
      </c>
      <c r="F1245" s="41"/>
      <c r="G1245" s="135"/>
    </row>
    <row r="1246" spans="2:17" x14ac:dyDescent="0.25">
      <c r="B1246" s="47"/>
      <c r="C1246" s="30" t="s">
        <v>483</v>
      </c>
      <c r="D1246" s="41">
        <v>0</v>
      </c>
      <c r="E1246" s="41">
        <v>0</v>
      </c>
      <c r="F1246" s="41"/>
      <c r="G1246" s="121"/>
    </row>
    <row r="1247" spans="2:17" ht="15.75" thickBot="1" x14ac:dyDescent="0.3">
      <c r="B1247" s="476"/>
      <c r="C1247" s="477"/>
      <c r="D1247" s="478">
        <v>21</v>
      </c>
      <c r="E1247" s="478">
        <v>0</v>
      </c>
      <c r="F1247" s="478"/>
      <c r="G1247" s="479">
        <v>21</v>
      </c>
    </row>
    <row r="1248" spans="2:17" x14ac:dyDescent="0.25">
      <c r="C1248" s="78"/>
    </row>
    <row r="1249" spans="2:7" ht="19.5" thickBot="1" x14ac:dyDescent="0.35">
      <c r="B1249" s="9" t="s">
        <v>394</v>
      </c>
      <c r="C1249" s="78"/>
      <c r="D1249" s="12"/>
    </row>
    <row r="1250" spans="2:7" x14ac:dyDescent="0.25">
      <c r="B1250" s="20" t="s">
        <v>22</v>
      </c>
      <c r="C1250" s="21" t="s">
        <v>23</v>
      </c>
      <c r="D1250" s="21" t="s">
        <v>24</v>
      </c>
      <c r="E1250" s="21" t="s">
        <v>25</v>
      </c>
      <c r="F1250" s="22" t="s">
        <v>26</v>
      </c>
      <c r="G1250" s="23" t="s">
        <v>27</v>
      </c>
    </row>
    <row r="1251" spans="2:7" x14ac:dyDescent="0.25">
      <c r="B1251" s="60" t="s">
        <v>31</v>
      </c>
      <c r="C1251" s="48" t="s">
        <v>397</v>
      </c>
      <c r="D1251" s="58">
        <v>4</v>
      </c>
      <c r="E1251" s="59">
        <v>0</v>
      </c>
      <c r="F1251" s="59"/>
      <c r="G1251" s="118">
        <v>4</v>
      </c>
    </row>
    <row r="1252" spans="2:7" x14ac:dyDescent="0.25">
      <c r="B1252" s="29" t="s">
        <v>32</v>
      </c>
      <c r="C1252" s="481">
        <v>32</v>
      </c>
      <c r="D1252" s="40">
        <v>11</v>
      </c>
      <c r="E1252" s="41">
        <v>0</v>
      </c>
      <c r="F1252" s="41"/>
      <c r="G1252" s="120">
        <v>17</v>
      </c>
    </row>
    <row r="1253" spans="2:7" x14ac:dyDescent="0.25">
      <c r="B1253" s="42"/>
      <c r="C1253" s="30">
        <v>64</v>
      </c>
      <c r="D1253" s="40">
        <v>4</v>
      </c>
      <c r="E1253" s="41">
        <v>0</v>
      </c>
      <c r="F1253" s="41"/>
      <c r="G1253" s="135"/>
    </row>
    <row r="1254" spans="2:7" x14ac:dyDescent="0.25">
      <c r="B1254" s="47"/>
      <c r="C1254" s="30" t="s">
        <v>407</v>
      </c>
      <c r="D1254" s="40">
        <v>2</v>
      </c>
      <c r="E1254" s="41">
        <v>0</v>
      </c>
      <c r="F1254" s="41"/>
      <c r="G1254" s="121"/>
    </row>
    <row r="1255" spans="2:7" ht="15.75" thickBot="1" x14ac:dyDescent="0.3">
      <c r="B1255" s="476"/>
      <c r="C1255" s="477"/>
      <c r="D1255" s="478">
        <v>21</v>
      </c>
      <c r="E1255" s="478">
        <v>0</v>
      </c>
      <c r="F1255" s="478"/>
      <c r="G1255" s="479">
        <v>21</v>
      </c>
    </row>
    <row r="1256" spans="2:7" x14ac:dyDescent="0.25">
      <c r="C1256" s="78"/>
    </row>
    <row r="1257" spans="2:7" ht="19.5" thickBot="1" x14ac:dyDescent="0.35">
      <c r="B1257" s="9" t="s">
        <v>563</v>
      </c>
      <c r="C1257" s="181"/>
      <c r="D1257" s="12"/>
    </row>
    <row r="1258" spans="2:7" x14ac:dyDescent="0.25">
      <c r="B1258" s="20" t="s">
        <v>22</v>
      </c>
      <c r="C1258" s="21" t="s">
        <v>23</v>
      </c>
      <c r="D1258" s="21" t="s">
        <v>24</v>
      </c>
      <c r="E1258" s="21" t="s">
        <v>25</v>
      </c>
      <c r="F1258" s="22" t="s">
        <v>26</v>
      </c>
      <c r="G1258" s="23" t="s">
        <v>27</v>
      </c>
    </row>
    <row r="1259" spans="2:7" x14ac:dyDescent="0.25">
      <c r="B1259" s="29" t="s">
        <v>31</v>
      </c>
      <c r="C1259" s="30" t="s">
        <v>82</v>
      </c>
      <c r="D1259" s="41">
        <v>0</v>
      </c>
      <c r="E1259" s="40">
        <v>4</v>
      </c>
      <c r="F1259" s="40" t="s">
        <v>564</v>
      </c>
      <c r="G1259" s="109">
        <v>21</v>
      </c>
    </row>
    <row r="1260" spans="2:7" x14ac:dyDescent="0.25">
      <c r="B1260" s="42"/>
      <c r="C1260" s="481">
        <v>2</v>
      </c>
      <c r="D1260" s="41">
        <v>0</v>
      </c>
      <c r="E1260" s="40">
        <v>8</v>
      </c>
      <c r="F1260" s="40" t="s">
        <v>565</v>
      </c>
      <c r="G1260" s="172"/>
    </row>
    <row r="1261" spans="2:7" x14ac:dyDescent="0.25">
      <c r="B1261" s="42"/>
      <c r="C1261" s="30">
        <v>4</v>
      </c>
      <c r="D1261" s="41">
        <v>0</v>
      </c>
      <c r="E1261" s="40">
        <v>7</v>
      </c>
      <c r="F1261" s="40" t="s">
        <v>566</v>
      </c>
      <c r="G1261" s="172"/>
    </row>
    <row r="1262" spans="2:7" x14ac:dyDescent="0.25">
      <c r="B1262" s="47"/>
      <c r="C1262" s="48">
        <v>8</v>
      </c>
      <c r="D1262" s="59">
        <v>0</v>
      </c>
      <c r="E1262" s="132">
        <v>2</v>
      </c>
      <c r="F1262" s="132" t="s">
        <v>567</v>
      </c>
      <c r="G1262" s="115"/>
    </row>
    <row r="1263" spans="2:7" x14ac:dyDescent="0.25">
      <c r="B1263" s="29" t="s">
        <v>32</v>
      </c>
      <c r="C1263" s="30">
        <v>16</v>
      </c>
      <c r="D1263" s="41">
        <v>0</v>
      </c>
      <c r="E1263" s="41">
        <v>0</v>
      </c>
      <c r="F1263" s="41"/>
      <c r="G1263" s="109">
        <v>0</v>
      </c>
    </row>
    <row r="1264" spans="2:7" x14ac:dyDescent="0.25">
      <c r="B1264" s="42"/>
      <c r="C1264" s="30">
        <v>32</v>
      </c>
      <c r="D1264" s="41">
        <v>0</v>
      </c>
      <c r="E1264" s="41">
        <v>0</v>
      </c>
      <c r="F1264" s="41"/>
      <c r="G1264" s="172"/>
    </row>
    <row r="1265" spans="2:7" x14ac:dyDescent="0.25">
      <c r="B1265" s="47"/>
      <c r="C1265" s="48" t="s">
        <v>101</v>
      </c>
      <c r="D1265" s="59">
        <v>0</v>
      </c>
      <c r="E1265" s="59">
        <v>0</v>
      </c>
      <c r="F1265" s="59"/>
      <c r="G1265" s="115"/>
    </row>
    <row r="1266" spans="2:7" ht="15.75" thickBot="1" x14ac:dyDescent="0.3">
      <c r="B1266" s="70"/>
      <c r="C1266" s="71"/>
      <c r="D1266" s="173">
        <v>0</v>
      </c>
      <c r="E1266" s="173">
        <v>21</v>
      </c>
      <c r="F1266" s="173"/>
      <c r="G1266" s="138">
        <v>21</v>
      </c>
    </row>
    <row r="1267" spans="2:7" x14ac:dyDescent="0.25">
      <c r="C1267" s="78"/>
    </row>
    <row r="1268" spans="2:7" ht="19.5" thickBot="1" x14ac:dyDescent="0.35">
      <c r="B1268" s="9" t="s">
        <v>568</v>
      </c>
      <c r="C1268" s="78"/>
      <c r="D1268" s="12"/>
    </row>
    <row r="1269" spans="2:7" x14ac:dyDescent="0.25">
      <c r="B1269" s="20" t="s">
        <v>22</v>
      </c>
      <c r="C1269" s="21" t="s">
        <v>23</v>
      </c>
      <c r="D1269" s="21" t="s">
        <v>24</v>
      </c>
      <c r="E1269" s="21" t="s">
        <v>25</v>
      </c>
      <c r="F1269" s="22" t="s">
        <v>26</v>
      </c>
      <c r="G1269" s="23" t="s">
        <v>27</v>
      </c>
    </row>
    <row r="1270" spans="2:7" x14ac:dyDescent="0.25">
      <c r="B1270" s="29" t="s">
        <v>31</v>
      </c>
      <c r="C1270" s="107" t="s">
        <v>389</v>
      </c>
      <c r="D1270" s="110">
        <v>0</v>
      </c>
      <c r="E1270" s="88">
        <v>16</v>
      </c>
      <c r="F1270" s="88" t="s">
        <v>569</v>
      </c>
      <c r="G1270" s="109">
        <v>20</v>
      </c>
    </row>
    <row r="1271" spans="2:7" x14ac:dyDescent="0.25">
      <c r="B1271" s="47"/>
      <c r="C1271" s="112">
        <v>8</v>
      </c>
      <c r="D1271" s="59">
        <v>0</v>
      </c>
      <c r="E1271" s="132">
        <v>4</v>
      </c>
      <c r="F1271" s="132" t="s">
        <v>570</v>
      </c>
      <c r="G1271" s="115"/>
    </row>
    <row r="1272" spans="2:7" x14ac:dyDescent="0.25">
      <c r="B1272" s="29" t="s">
        <v>32</v>
      </c>
      <c r="C1272" s="30">
        <v>16</v>
      </c>
      <c r="D1272" s="41">
        <v>0</v>
      </c>
      <c r="E1272" s="31">
        <v>1</v>
      </c>
      <c r="F1272" s="41" t="s">
        <v>571</v>
      </c>
      <c r="G1272" s="109">
        <v>1</v>
      </c>
    </row>
    <row r="1273" spans="2:7" x14ac:dyDescent="0.25">
      <c r="B1273" s="42"/>
      <c r="C1273" s="30">
        <v>32</v>
      </c>
      <c r="D1273" s="41">
        <v>0</v>
      </c>
      <c r="E1273" s="41">
        <v>0</v>
      </c>
      <c r="F1273" s="41"/>
      <c r="G1273" s="172"/>
    </row>
    <row r="1274" spans="2:7" x14ac:dyDescent="0.25">
      <c r="B1274" s="47"/>
      <c r="C1274" s="30" t="s">
        <v>101</v>
      </c>
      <c r="D1274" s="41">
        <v>0</v>
      </c>
      <c r="E1274" s="41">
        <v>0</v>
      </c>
      <c r="F1274" s="41"/>
      <c r="G1274" s="115"/>
    </row>
    <row r="1275" spans="2:7" ht="15.75" thickBot="1" x14ac:dyDescent="0.3">
      <c r="B1275" s="476"/>
      <c r="C1275" s="477"/>
      <c r="D1275" s="478">
        <v>0</v>
      </c>
      <c r="E1275" s="478">
        <v>21</v>
      </c>
      <c r="F1275" s="478"/>
      <c r="G1275" s="479">
        <v>21</v>
      </c>
    </row>
    <row r="1276" spans="2:7" x14ac:dyDescent="0.25">
      <c r="C1276" s="78"/>
    </row>
    <row r="1277" spans="2:7" x14ac:dyDescent="0.25">
      <c r="B1277" t="s">
        <v>572</v>
      </c>
    </row>
    <row r="1278" spans="2:7" x14ac:dyDescent="0.25">
      <c r="B1278" s="530" t="s">
        <v>573</v>
      </c>
      <c r="C1278" s="531" t="s">
        <v>574</v>
      </c>
      <c r="D1278" s="532" t="s">
        <v>575</v>
      </c>
      <c r="E1278" s="531" t="s">
        <v>576</v>
      </c>
      <c r="F1278" s="533" t="s">
        <v>577</v>
      </c>
    </row>
    <row r="1279" spans="2:7" x14ac:dyDescent="0.25">
      <c r="B1279" s="99" t="s">
        <v>578</v>
      </c>
      <c r="C1279" t="s">
        <v>579</v>
      </c>
      <c r="D1279" t="s">
        <v>580</v>
      </c>
      <c r="E1279" t="s">
        <v>581</v>
      </c>
      <c r="F1279" s="30" t="s">
        <v>582</v>
      </c>
    </row>
    <row r="1280" spans="2:7" x14ac:dyDescent="0.25">
      <c r="B1280" s="99" t="s">
        <v>583</v>
      </c>
      <c r="C1280" t="s">
        <v>584</v>
      </c>
      <c r="D1280" t="s">
        <v>585</v>
      </c>
      <c r="E1280" t="s">
        <v>580</v>
      </c>
      <c r="F1280" s="41" t="s">
        <v>586</v>
      </c>
    </row>
    <row r="1281" spans="2:7" x14ac:dyDescent="0.25">
      <c r="B1281" s="99" t="s">
        <v>587</v>
      </c>
      <c r="C1281" t="s">
        <v>588</v>
      </c>
      <c r="D1281" t="s">
        <v>589</v>
      </c>
      <c r="E1281" t="s">
        <v>589</v>
      </c>
      <c r="F1281" s="41" t="s">
        <v>590</v>
      </c>
    </row>
    <row r="1282" spans="2:7" x14ac:dyDescent="0.25">
      <c r="B1282" s="188" t="s">
        <v>591</v>
      </c>
      <c r="C1282" s="64" t="s">
        <v>592</v>
      </c>
      <c r="D1282" s="64" t="s">
        <v>593</v>
      </c>
      <c r="E1282" s="64" t="s">
        <v>581</v>
      </c>
      <c r="F1282" s="59" t="s">
        <v>594</v>
      </c>
    </row>
    <row r="1284" spans="2:7" x14ac:dyDescent="0.25">
      <c r="C1284" s="78"/>
    </row>
    <row r="1285" spans="2:7" ht="19.5" thickBot="1" x14ac:dyDescent="0.35">
      <c r="B1285" s="9" t="s">
        <v>595</v>
      </c>
      <c r="C1285" s="78"/>
      <c r="D1285" s="12"/>
    </row>
    <row r="1286" spans="2:7" x14ac:dyDescent="0.25">
      <c r="B1286" s="20" t="s">
        <v>22</v>
      </c>
      <c r="C1286" s="21" t="s">
        <v>23</v>
      </c>
      <c r="D1286" s="21" t="s">
        <v>24</v>
      </c>
      <c r="E1286" s="21" t="s">
        <v>25</v>
      </c>
      <c r="F1286" s="22" t="s">
        <v>26</v>
      </c>
      <c r="G1286" s="23" t="s">
        <v>27</v>
      </c>
    </row>
    <row r="1287" spans="2:7" x14ac:dyDescent="0.25">
      <c r="B1287" s="29" t="s">
        <v>31</v>
      </c>
      <c r="C1287" s="107" t="s">
        <v>389</v>
      </c>
      <c r="D1287" s="87">
        <v>9</v>
      </c>
      <c r="E1287" s="110">
        <v>0</v>
      </c>
      <c r="F1287" s="110"/>
      <c r="G1287" s="109">
        <v>20</v>
      </c>
    </row>
    <row r="1288" spans="2:7" x14ac:dyDescent="0.25">
      <c r="B1288" s="42"/>
      <c r="C1288" s="481">
        <v>8</v>
      </c>
      <c r="D1288" s="31">
        <v>8</v>
      </c>
      <c r="E1288" s="41">
        <v>0</v>
      </c>
      <c r="F1288" s="41"/>
      <c r="G1288" s="172"/>
    </row>
    <row r="1289" spans="2:7" x14ac:dyDescent="0.25">
      <c r="B1289" s="47"/>
      <c r="C1289" s="48">
        <v>16</v>
      </c>
      <c r="D1289" s="58">
        <v>3</v>
      </c>
      <c r="E1289" s="59">
        <v>0</v>
      </c>
      <c r="F1289" s="59"/>
      <c r="G1289" s="115"/>
    </row>
    <row r="1290" spans="2:7" x14ac:dyDescent="0.25">
      <c r="B1290" s="29" t="s">
        <v>32</v>
      </c>
      <c r="C1290" s="30">
        <v>32</v>
      </c>
      <c r="D1290" s="41">
        <v>0</v>
      </c>
      <c r="E1290" s="41">
        <v>0</v>
      </c>
      <c r="F1290" s="41"/>
      <c r="G1290" s="109">
        <v>1</v>
      </c>
    </row>
    <row r="1291" spans="2:7" x14ac:dyDescent="0.25">
      <c r="B1291" s="47"/>
      <c r="C1291" s="30" t="s">
        <v>101</v>
      </c>
      <c r="D1291" s="40">
        <v>1</v>
      </c>
      <c r="E1291" s="41">
        <v>0</v>
      </c>
      <c r="F1291" s="41"/>
      <c r="G1291" s="115"/>
    </row>
    <row r="1292" spans="2:7" ht="15.75" thickBot="1" x14ac:dyDescent="0.3">
      <c r="B1292" s="476"/>
      <c r="C1292" s="477"/>
      <c r="D1292" s="478">
        <v>21</v>
      </c>
      <c r="E1292" s="478">
        <v>0</v>
      </c>
      <c r="F1292" s="478"/>
      <c r="G1292" s="479">
        <v>21</v>
      </c>
    </row>
    <row r="1293" spans="2:7" x14ac:dyDescent="0.25">
      <c r="C1293" s="78"/>
    </row>
    <row r="1294" spans="2:7" ht="19.5" thickBot="1" x14ac:dyDescent="0.35">
      <c r="B1294" s="9" t="s">
        <v>442</v>
      </c>
      <c r="C1294" s="204" t="s">
        <v>187</v>
      </c>
      <c r="D1294" s="12"/>
      <c r="E1294" s="12"/>
      <c r="F1294" s="431"/>
    </row>
    <row r="1295" spans="2:7" x14ac:dyDescent="0.25">
      <c r="B1295" s="20" t="s">
        <v>22</v>
      </c>
      <c r="C1295" s="21" t="s">
        <v>23</v>
      </c>
      <c r="D1295" s="21" t="s">
        <v>24</v>
      </c>
      <c r="E1295" s="21" t="s">
        <v>25</v>
      </c>
      <c r="F1295" s="22" t="s">
        <v>26</v>
      </c>
      <c r="G1295" s="23" t="s">
        <v>27</v>
      </c>
    </row>
    <row r="1296" spans="2:7" x14ac:dyDescent="0.25">
      <c r="B1296" s="29" t="s">
        <v>29</v>
      </c>
      <c r="C1296" s="30" t="s">
        <v>82</v>
      </c>
      <c r="D1296" s="31">
        <v>7</v>
      </c>
      <c r="E1296" s="40">
        <v>11</v>
      </c>
      <c r="F1296" s="40" t="s">
        <v>596</v>
      </c>
      <c r="G1296" s="109">
        <v>19</v>
      </c>
    </row>
    <row r="1297" spans="2:7" x14ac:dyDescent="0.25">
      <c r="B1297" s="47"/>
      <c r="C1297" s="112">
        <v>2</v>
      </c>
      <c r="D1297" s="59">
        <v>0</v>
      </c>
      <c r="E1297" s="132">
        <v>1</v>
      </c>
      <c r="F1297" s="132" t="s">
        <v>597</v>
      </c>
      <c r="G1297" s="115"/>
    </row>
    <row r="1298" spans="2:7" x14ac:dyDescent="0.25">
      <c r="B1298" s="29" t="s">
        <v>31</v>
      </c>
      <c r="C1298" s="30">
        <v>4</v>
      </c>
      <c r="D1298" s="41">
        <v>0</v>
      </c>
      <c r="E1298" s="40">
        <v>1</v>
      </c>
      <c r="F1298" s="40" t="s">
        <v>597</v>
      </c>
      <c r="G1298" s="172">
        <v>2</v>
      </c>
    </row>
    <row r="1299" spans="2:7" x14ac:dyDescent="0.25">
      <c r="B1299" s="47"/>
      <c r="C1299" s="48">
        <v>8</v>
      </c>
      <c r="D1299" s="58">
        <v>1</v>
      </c>
      <c r="E1299" s="59">
        <v>0</v>
      </c>
      <c r="F1299" s="59"/>
      <c r="G1299" s="115"/>
    </row>
    <row r="1300" spans="2:7" x14ac:dyDescent="0.25">
      <c r="B1300" s="504" t="s">
        <v>32</v>
      </c>
      <c r="C1300" s="30" t="s">
        <v>87</v>
      </c>
      <c r="D1300" s="41">
        <v>0</v>
      </c>
      <c r="E1300" s="41">
        <v>0</v>
      </c>
      <c r="F1300" s="41"/>
      <c r="G1300" s="505">
        <v>0</v>
      </c>
    </row>
    <row r="1301" spans="2:7" ht="15.75" thickBot="1" x14ac:dyDescent="0.3">
      <c r="B1301" s="476"/>
      <c r="C1301" s="477"/>
      <c r="D1301" s="478">
        <v>8</v>
      </c>
      <c r="E1301" s="478">
        <v>13</v>
      </c>
      <c r="F1301" s="478"/>
      <c r="G1301" s="479">
        <v>21</v>
      </c>
    </row>
    <row r="1302" spans="2:7" x14ac:dyDescent="0.25">
      <c r="C1302" s="78"/>
    </row>
    <row r="1303" spans="2:7" ht="19.5" thickBot="1" x14ac:dyDescent="0.35">
      <c r="B1303" s="9" t="s">
        <v>444</v>
      </c>
      <c r="C1303" s="78"/>
      <c r="D1303" s="12"/>
    </row>
    <row r="1304" spans="2:7" x14ac:dyDescent="0.25">
      <c r="B1304" s="20" t="s">
        <v>22</v>
      </c>
      <c r="C1304" s="21" t="s">
        <v>23</v>
      </c>
      <c r="D1304" s="21" t="s">
        <v>24</v>
      </c>
      <c r="E1304" s="21" t="s">
        <v>25</v>
      </c>
      <c r="F1304" s="22" t="s">
        <v>26</v>
      </c>
      <c r="G1304" s="23" t="s">
        <v>27</v>
      </c>
    </row>
    <row r="1305" spans="2:7" x14ac:dyDescent="0.25">
      <c r="B1305" s="60" t="s">
        <v>31</v>
      </c>
      <c r="C1305" s="48" t="s">
        <v>46</v>
      </c>
      <c r="D1305" s="58">
        <v>8</v>
      </c>
      <c r="E1305" s="132">
        <v>9</v>
      </c>
      <c r="F1305" s="132" t="s">
        <v>598</v>
      </c>
      <c r="G1305" s="118">
        <v>17</v>
      </c>
    </row>
    <row r="1306" spans="2:7" x14ac:dyDescent="0.25">
      <c r="B1306" s="29" t="s">
        <v>32</v>
      </c>
      <c r="C1306" s="481">
        <v>1</v>
      </c>
      <c r="D1306" s="40">
        <v>1</v>
      </c>
      <c r="E1306" s="31">
        <v>1</v>
      </c>
      <c r="F1306" s="41" t="s">
        <v>599</v>
      </c>
      <c r="G1306" s="120">
        <v>4</v>
      </c>
    </row>
    <row r="1307" spans="2:7" x14ac:dyDescent="0.25">
      <c r="B1307" s="42"/>
      <c r="C1307" s="30">
        <v>2</v>
      </c>
      <c r="D1307" s="40">
        <v>1</v>
      </c>
      <c r="E1307" s="41"/>
      <c r="F1307" s="41"/>
      <c r="G1307" s="135"/>
    </row>
    <row r="1308" spans="2:7" x14ac:dyDescent="0.25">
      <c r="B1308" s="42"/>
      <c r="C1308" s="30">
        <v>4</v>
      </c>
      <c r="D1308" s="41">
        <v>0</v>
      </c>
      <c r="E1308" s="41"/>
      <c r="F1308" s="41"/>
      <c r="G1308" s="135"/>
    </row>
    <row r="1309" spans="2:7" x14ac:dyDescent="0.25">
      <c r="B1309" s="47"/>
      <c r="C1309" s="30" t="s">
        <v>33</v>
      </c>
      <c r="D1309" s="41">
        <v>0</v>
      </c>
      <c r="E1309" s="31">
        <v>1</v>
      </c>
      <c r="F1309" s="41" t="s">
        <v>599</v>
      </c>
      <c r="G1309" s="121"/>
    </row>
    <row r="1310" spans="2:7" ht="15.75" thickBot="1" x14ac:dyDescent="0.3">
      <c r="B1310" s="476"/>
      <c r="C1310" s="477"/>
      <c r="D1310" s="478">
        <v>10</v>
      </c>
      <c r="E1310" s="478">
        <v>11</v>
      </c>
      <c r="F1310" s="478"/>
      <c r="G1310" s="479">
        <v>21</v>
      </c>
    </row>
    <row r="1311" spans="2:7" x14ac:dyDescent="0.25">
      <c r="C1311" s="78"/>
    </row>
    <row r="1312" spans="2:7" ht="19.5" thickBot="1" x14ac:dyDescent="0.35">
      <c r="B1312" s="9" t="s">
        <v>600</v>
      </c>
      <c r="C1312" s="78"/>
      <c r="D1312" s="12"/>
    </row>
    <row r="1313" spans="2:7" x14ac:dyDescent="0.25">
      <c r="B1313" s="20" t="s">
        <v>22</v>
      </c>
      <c r="C1313" s="21" t="s">
        <v>23</v>
      </c>
      <c r="D1313" s="21" t="s">
        <v>24</v>
      </c>
      <c r="E1313" s="21" t="s">
        <v>25</v>
      </c>
      <c r="F1313" s="22" t="s">
        <v>26</v>
      </c>
      <c r="G1313" s="23" t="s">
        <v>27</v>
      </c>
    </row>
    <row r="1314" spans="2:7" x14ac:dyDescent="0.25">
      <c r="B1314" s="29" t="s">
        <v>29</v>
      </c>
      <c r="C1314" s="107" t="s">
        <v>474</v>
      </c>
      <c r="D1314" s="87">
        <v>21</v>
      </c>
      <c r="E1314" s="110">
        <v>0</v>
      </c>
      <c r="F1314" s="110"/>
      <c r="G1314" s="109">
        <v>21</v>
      </c>
    </row>
    <row r="1315" spans="2:7" x14ac:dyDescent="0.25">
      <c r="B1315" s="47"/>
      <c r="C1315" s="112">
        <v>16</v>
      </c>
      <c r="D1315" s="59">
        <v>0</v>
      </c>
      <c r="E1315" s="59">
        <v>0</v>
      </c>
      <c r="F1315" s="59"/>
      <c r="G1315" s="115"/>
    </row>
    <row r="1316" spans="2:7" x14ac:dyDescent="0.25">
      <c r="B1316" s="29" t="s">
        <v>32</v>
      </c>
      <c r="C1316" s="30">
        <v>32</v>
      </c>
      <c r="D1316" s="41">
        <v>0</v>
      </c>
      <c r="E1316" s="41">
        <v>0</v>
      </c>
      <c r="F1316" s="41"/>
      <c r="G1316" s="109">
        <v>0</v>
      </c>
    </row>
    <row r="1317" spans="2:7" x14ac:dyDescent="0.25">
      <c r="B1317" s="42"/>
      <c r="C1317" s="30">
        <v>64</v>
      </c>
      <c r="D1317" s="41">
        <v>0</v>
      </c>
      <c r="E1317" s="41">
        <v>0</v>
      </c>
      <c r="F1317" s="41"/>
      <c r="G1317" s="172"/>
    </row>
    <row r="1318" spans="2:7" x14ac:dyDescent="0.25">
      <c r="B1318" s="47"/>
      <c r="C1318" s="30" t="s">
        <v>407</v>
      </c>
      <c r="D1318" s="41">
        <v>0</v>
      </c>
      <c r="E1318" s="41">
        <v>0</v>
      </c>
      <c r="F1318" s="41"/>
      <c r="G1318" s="115"/>
    </row>
    <row r="1319" spans="2:7" ht="15.75" thickBot="1" x14ac:dyDescent="0.3">
      <c r="B1319" s="476"/>
      <c r="C1319" s="477"/>
      <c r="D1319" s="478">
        <v>21</v>
      </c>
      <c r="E1319" s="478">
        <v>0</v>
      </c>
      <c r="F1319" s="478"/>
      <c r="G1319" s="479">
        <v>21</v>
      </c>
    </row>
    <row r="1320" spans="2:7" x14ac:dyDescent="0.25">
      <c r="C1320" s="78"/>
    </row>
    <row r="1321" spans="2:7" ht="19.5" thickBot="1" x14ac:dyDescent="0.35">
      <c r="B1321" s="15" t="s">
        <v>694</v>
      </c>
      <c r="C1321" s="78"/>
      <c r="D1321" s="12"/>
    </row>
    <row r="1322" spans="2:7" x14ac:dyDescent="0.25">
      <c r="B1322" s="20" t="s">
        <v>22</v>
      </c>
      <c r="C1322" s="21" t="s">
        <v>23</v>
      </c>
      <c r="D1322" s="21" t="s">
        <v>24</v>
      </c>
      <c r="E1322" s="21" t="s">
        <v>25</v>
      </c>
      <c r="F1322" s="22" t="s">
        <v>26</v>
      </c>
      <c r="G1322" s="23" t="s">
        <v>27</v>
      </c>
    </row>
    <row r="1323" spans="2:7" x14ac:dyDescent="0.25">
      <c r="B1323" s="29" t="s">
        <v>29</v>
      </c>
      <c r="C1323" s="30" t="s">
        <v>39</v>
      </c>
      <c r="D1323" s="41">
        <v>0</v>
      </c>
      <c r="E1323" s="41">
        <v>0</v>
      </c>
      <c r="F1323" s="41"/>
      <c r="G1323" s="109">
        <v>21</v>
      </c>
    </row>
    <row r="1324" spans="2:7" x14ac:dyDescent="0.25">
      <c r="B1324" s="42"/>
      <c r="C1324" s="481">
        <v>0.25</v>
      </c>
      <c r="D1324" s="41">
        <v>0</v>
      </c>
      <c r="E1324" s="41">
        <v>0</v>
      </c>
      <c r="F1324" s="41"/>
      <c r="G1324" s="172"/>
    </row>
    <row r="1325" spans="2:7" x14ac:dyDescent="0.25">
      <c r="B1325" s="42"/>
      <c r="C1325" s="30">
        <v>0.5</v>
      </c>
      <c r="D1325" s="31">
        <v>4</v>
      </c>
      <c r="E1325" s="41">
        <v>0</v>
      </c>
      <c r="F1325" s="41"/>
      <c r="G1325" s="172"/>
    </row>
    <row r="1326" spans="2:7" x14ac:dyDescent="0.25">
      <c r="B1326" s="42"/>
      <c r="C1326" s="30">
        <v>1</v>
      </c>
      <c r="D1326" s="31">
        <v>15</v>
      </c>
      <c r="E1326" s="41">
        <v>0</v>
      </c>
      <c r="F1326" s="41"/>
      <c r="G1326" s="172"/>
    </row>
    <row r="1327" spans="2:7" x14ac:dyDescent="0.25">
      <c r="B1327" s="42"/>
      <c r="C1327" s="30">
        <v>2</v>
      </c>
      <c r="D1327" s="31">
        <v>2</v>
      </c>
      <c r="E1327" s="41">
        <v>0</v>
      </c>
      <c r="F1327" s="41"/>
      <c r="G1327" s="172"/>
    </row>
    <row r="1328" spans="2:7" x14ac:dyDescent="0.25">
      <c r="B1328" s="47"/>
      <c r="C1328" s="48">
        <v>4</v>
      </c>
      <c r="D1328" s="59">
        <v>0</v>
      </c>
      <c r="E1328" s="59">
        <v>0</v>
      </c>
      <c r="F1328" s="59"/>
      <c r="G1328" s="115"/>
    </row>
    <row r="1329" spans="2:7" x14ac:dyDescent="0.25">
      <c r="B1329" s="29" t="s">
        <v>32</v>
      </c>
      <c r="C1329" s="30">
        <v>8</v>
      </c>
      <c r="D1329" s="41">
        <v>0</v>
      </c>
      <c r="E1329" s="41">
        <v>0</v>
      </c>
      <c r="F1329" s="41"/>
      <c r="G1329" s="109">
        <v>0</v>
      </c>
    </row>
    <row r="1330" spans="2:7" x14ac:dyDescent="0.25">
      <c r="B1330" s="42"/>
      <c r="C1330" s="30">
        <v>16</v>
      </c>
      <c r="D1330" s="41">
        <v>0</v>
      </c>
      <c r="E1330" s="41">
        <v>0</v>
      </c>
      <c r="F1330" s="41"/>
      <c r="G1330" s="172"/>
    </row>
    <row r="1331" spans="2:7" x14ac:dyDescent="0.25">
      <c r="B1331" s="42"/>
      <c r="C1331" s="481">
        <v>32</v>
      </c>
      <c r="D1331" s="41">
        <v>0</v>
      </c>
      <c r="E1331" s="41">
        <v>0</v>
      </c>
      <c r="F1331" s="41"/>
      <c r="G1331" s="172"/>
    </row>
    <row r="1332" spans="2:7" x14ac:dyDescent="0.25">
      <c r="B1332" s="42"/>
      <c r="C1332" s="30">
        <v>64</v>
      </c>
      <c r="D1332" s="41">
        <v>0</v>
      </c>
      <c r="E1332" s="41">
        <v>0</v>
      </c>
      <c r="F1332" s="41"/>
      <c r="G1332" s="172"/>
    </row>
    <row r="1333" spans="2:7" x14ac:dyDescent="0.25">
      <c r="B1333" s="42"/>
      <c r="C1333" s="30">
        <v>128</v>
      </c>
      <c r="D1333" s="41">
        <v>0</v>
      </c>
      <c r="E1333" s="41">
        <v>0</v>
      </c>
      <c r="F1333" s="41"/>
      <c r="G1333" s="172"/>
    </row>
    <row r="1334" spans="2:7" x14ac:dyDescent="0.25">
      <c r="B1334" s="47"/>
      <c r="C1334" s="30" t="s">
        <v>483</v>
      </c>
      <c r="D1334" s="41">
        <v>0</v>
      </c>
      <c r="E1334" s="41">
        <v>0</v>
      </c>
      <c r="F1334" s="41"/>
      <c r="G1334" s="115"/>
    </row>
    <row r="1335" spans="2:7" ht="15.75" thickBot="1" x14ac:dyDescent="0.3">
      <c r="B1335" s="476"/>
      <c r="C1335" s="477"/>
      <c r="D1335" s="478">
        <v>21</v>
      </c>
      <c r="E1335" s="478">
        <v>0</v>
      </c>
      <c r="F1335" s="478"/>
      <c r="G1335" s="479">
        <v>21</v>
      </c>
    </row>
    <row r="1336" spans="2:7" x14ac:dyDescent="0.25">
      <c r="B1336" t="s">
        <v>601</v>
      </c>
      <c r="C1336" s="78"/>
    </row>
    <row r="1337" spans="2:7" x14ac:dyDescent="0.25">
      <c r="C1337" s="78"/>
    </row>
    <row r="1339" spans="2:7" ht="18.75" x14ac:dyDescent="0.3">
      <c r="B1339" s="9" t="s">
        <v>602</v>
      </c>
      <c r="E1339" s="12"/>
    </row>
    <row r="1340" spans="2:7" x14ac:dyDescent="0.25">
      <c r="B1340" s="25"/>
      <c r="C1340" s="26" t="s">
        <v>24</v>
      </c>
      <c r="D1340" s="27" t="s">
        <v>25</v>
      </c>
      <c r="E1340" s="27" t="s">
        <v>27</v>
      </c>
      <c r="F1340" s="28" t="s">
        <v>28</v>
      </c>
    </row>
    <row r="1341" spans="2:7" x14ac:dyDescent="0.25">
      <c r="B1341" s="38" t="s">
        <v>109</v>
      </c>
      <c r="C1341" s="39">
        <v>102</v>
      </c>
      <c r="D1341" s="40">
        <v>63</v>
      </c>
      <c r="E1341" s="32">
        <f>SUM(C1341,D1341)</f>
        <v>165</v>
      </c>
      <c r="F1341" s="41">
        <f>E1341/E1343*100</f>
        <v>87.301587301587304</v>
      </c>
    </row>
    <row r="1342" spans="2:7" x14ac:dyDescent="0.25">
      <c r="B1342" s="56" t="s">
        <v>110</v>
      </c>
      <c r="C1342" s="57">
        <v>21</v>
      </c>
      <c r="D1342" s="58">
        <v>3</v>
      </c>
      <c r="E1342" s="50">
        <f>SUM(C1342,D1342)</f>
        <v>24</v>
      </c>
      <c r="F1342" s="59">
        <f>E1342/E1343*100</f>
        <v>12.698412698412698</v>
      </c>
    </row>
    <row r="1343" spans="2:7" x14ac:dyDescent="0.25">
      <c r="B1343" s="56" t="s">
        <v>27</v>
      </c>
      <c r="C1343" s="64">
        <f>SUM(C1341,C1342)</f>
        <v>123</v>
      </c>
      <c r="D1343" s="50">
        <f>SUM(D1341,D1342)</f>
        <v>66</v>
      </c>
      <c r="E1343" s="50">
        <f>SUM(C1341:D1342)</f>
        <v>189</v>
      </c>
      <c r="F1343" s="59"/>
    </row>
    <row r="1344" spans="2:7" x14ac:dyDescent="0.25">
      <c r="B1344" s="56" t="s">
        <v>28</v>
      </c>
      <c r="C1344" s="64">
        <f>C1343/E1343*100</f>
        <v>65.079365079365076</v>
      </c>
      <c r="D1344" s="59">
        <f>D1343/E1343*100</f>
        <v>34.920634920634917</v>
      </c>
      <c r="E1344" s="59"/>
      <c r="F1344" s="59"/>
    </row>
    <row r="1348" spans="2:5" ht="18.75" x14ac:dyDescent="0.3">
      <c r="B1348" s="9" t="s">
        <v>131</v>
      </c>
      <c r="E1348" s="12"/>
    </row>
    <row r="1349" spans="2:5" x14ac:dyDescent="0.25">
      <c r="B1349" t="s">
        <v>508</v>
      </c>
    </row>
    <row r="1351" spans="2:5" x14ac:dyDescent="0.25">
      <c r="B1351" s="216" t="s">
        <v>270</v>
      </c>
      <c r="C1351" s="216" t="s">
        <v>275</v>
      </c>
      <c r="D1351" s="5"/>
    </row>
    <row r="1352" spans="2:5" x14ac:dyDescent="0.25">
      <c r="B1352" s="447" t="s">
        <v>23</v>
      </c>
      <c r="C1352" s="448" t="s">
        <v>117</v>
      </c>
      <c r="D1352" s="449" t="s">
        <v>26</v>
      </c>
    </row>
    <row r="1353" spans="2:5" x14ac:dyDescent="0.25">
      <c r="B1353" s="220" t="s">
        <v>46</v>
      </c>
      <c r="C1353" s="5">
        <v>0</v>
      </c>
      <c r="D1353" s="151"/>
    </row>
    <row r="1354" spans="2:5" x14ac:dyDescent="0.25">
      <c r="B1354" s="475">
        <v>1</v>
      </c>
      <c r="C1354" s="5">
        <v>1</v>
      </c>
      <c r="D1354" s="151"/>
    </row>
    <row r="1355" spans="2:5" x14ac:dyDescent="0.25">
      <c r="B1355" s="220">
        <v>2</v>
      </c>
      <c r="C1355" s="5">
        <v>0</v>
      </c>
      <c r="D1355" s="151"/>
    </row>
    <row r="1356" spans="2:5" x14ac:dyDescent="0.25">
      <c r="B1356" s="220">
        <v>4</v>
      </c>
      <c r="C1356" s="5">
        <v>1</v>
      </c>
      <c r="D1356" s="151"/>
    </row>
    <row r="1357" spans="2:5" x14ac:dyDescent="0.25">
      <c r="B1357" s="220">
        <v>8</v>
      </c>
      <c r="C1357" s="5">
        <v>2</v>
      </c>
      <c r="D1357" s="151"/>
    </row>
    <row r="1358" spans="2:5" x14ac:dyDescent="0.25">
      <c r="B1358" s="220">
        <v>16</v>
      </c>
      <c r="C1358" s="5">
        <v>4</v>
      </c>
      <c r="D1358" s="151"/>
    </row>
    <row r="1359" spans="2:5" x14ac:dyDescent="0.25">
      <c r="B1359" s="221" t="s">
        <v>94</v>
      </c>
      <c r="C1359" s="222">
        <v>13</v>
      </c>
      <c r="D1359" s="162" t="s">
        <v>603</v>
      </c>
    </row>
    <row r="1360" spans="2:5" x14ac:dyDescent="0.25">
      <c r="B1360" s="5"/>
      <c r="C1360" s="5"/>
      <c r="D1360" s="5"/>
    </row>
    <row r="1361" spans="2:4" x14ac:dyDescent="0.25">
      <c r="B1361" s="216" t="s">
        <v>324</v>
      </c>
      <c r="C1361" s="216" t="s">
        <v>275</v>
      </c>
      <c r="D1361" s="5"/>
    </row>
    <row r="1362" spans="2:4" x14ac:dyDescent="0.25">
      <c r="B1362" s="447" t="s">
        <v>23</v>
      </c>
      <c r="C1362" s="448" t="s">
        <v>117</v>
      </c>
      <c r="D1362" s="449" t="s">
        <v>26</v>
      </c>
    </row>
    <row r="1363" spans="2:4" x14ac:dyDescent="0.25">
      <c r="B1363" s="220" t="s">
        <v>82</v>
      </c>
      <c r="C1363" s="5">
        <v>2</v>
      </c>
      <c r="D1363" s="151"/>
    </row>
    <row r="1364" spans="2:4" x14ac:dyDescent="0.25">
      <c r="B1364" s="220">
        <v>2</v>
      </c>
      <c r="C1364" s="5">
        <v>0</v>
      </c>
      <c r="D1364" s="151"/>
    </row>
    <row r="1365" spans="2:4" x14ac:dyDescent="0.25">
      <c r="B1365" s="220">
        <v>4</v>
      </c>
      <c r="C1365" s="5">
        <v>5</v>
      </c>
      <c r="D1365" s="151"/>
    </row>
    <row r="1366" spans="2:4" x14ac:dyDescent="0.25">
      <c r="B1366" s="220">
        <v>8</v>
      </c>
      <c r="C1366" s="5">
        <v>10</v>
      </c>
      <c r="D1366" s="151"/>
    </row>
    <row r="1367" spans="2:4" x14ac:dyDescent="0.25">
      <c r="B1367" s="221" t="s">
        <v>87</v>
      </c>
      <c r="C1367" s="222">
        <v>4</v>
      </c>
      <c r="D1367" s="162"/>
    </row>
    <row r="1368" spans="2:4" x14ac:dyDescent="0.25">
      <c r="B1368" s="5"/>
      <c r="C1368" s="5"/>
      <c r="D1368" s="5"/>
    </row>
    <row r="1369" spans="2:4" x14ac:dyDescent="0.25">
      <c r="B1369" s="216" t="s">
        <v>280</v>
      </c>
      <c r="C1369" s="216" t="s">
        <v>275</v>
      </c>
      <c r="D1369" s="5"/>
    </row>
    <row r="1370" spans="2:4" x14ac:dyDescent="0.25">
      <c r="B1370" s="447" t="s">
        <v>23</v>
      </c>
      <c r="C1370" s="448" t="s">
        <v>117</v>
      </c>
      <c r="D1370" s="449" t="s">
        <v>26</v>
      </c>
    </row>
    <row r="1371" spans="2:4" x14ac:dyDescent="0.25">
      <c r="B1371" s="220" t="s">
        <v>46</v>
      </c>
      <c r="C1371" s="5">
        <v>2</v>
      </c>
      <c r="D1371" s="151"/>
    </row>
    <row r="1372" spans="2:4" x14ac:dyDescent="0.25">
      <c r="B1372" s="475">
        <v>1</v>
      </c>
      <c r="C1372" s="5">
        <v>0</v>
      </c>
      <c r="D1372" s="151"/>
    </row>
    <row r="1373" spans="2:4" x14ac:dyDescent="0.25">
      <c r="B1373" s="220">
        <v>2</v>
      </c>
      <c r="C1373" s="5">
        <v>1</v>
      </c>
      <c r="D1373" s="151"/>
    </row>
    <row r="1374" spans="2:4" x14ac:dyDescent="0.25">
      <c r="B1374" s="220">
        <v>4</v>
      </c>
      <c r="C1374" s="5">
        <v>1</v>
      </c>
      <c r="D1374" s="151"/>
    </row>
    <row r="1375" spans="2:4" x14ac:dyDescent="0.25">
      <c r="B1375" s="221" t="s">
        <v>33</v>
      </c>
      <c r="C1375" s="222">
        <v>17</v>
      </c>
      <c r="D1375" s="162"/>
    </row>
    <row r="1376" spans="2:4" x14ac:dyDescent="0.25">
      <c r="B1376" s="5"/>
      <c r="C1376" s="5"/>
      <c r="D1376" s="5"/>
    </row>
    <row r="1377" spans="2:4" x14ac:dyDescent="0.25">
      <c r="B1377" s="216" t="s">
        <v>525</v>
      </c>
      <c r="C1377" s="216" t="s">
        <v>604</v>
      </c>
      <c r="D1377" s="5"/>
    </row>
    <row r="1378" spans="2:4" x14ac:dyDescent="0.25">
      <c r="B1378" s="447" t="s">
        <v>23</v>
      </c>
      <c r="C1378" s="448" t="s">
        <v>117</v>
      </c>
      <c r="D1378" s="449" t="s">
        <v>26</v>
      </c>
    </row>
    <row r="1379" spans="2:4" x14ac:dyDescent="0.25">
      <c r="B1379" s="220" t="s">
        <v>389</v>
      </c>
      <c r="C1379" s="5">
        <v>21</v>
      </c>
      <c r="D1379" s="151"/>
    </row>
    <row r="1380" spans="2:4" x14ac:dyDescent="0.25">
      <c r="B1380" s="220">
        <v>8</v>
      </c>
      <c r="C1380" s="5">
        <v>0</v>
      </c>
      <c r="D1380" s="151"/>
    </row>
    <row r="1381" spans="2:4" x14ac:dyDescent="0.25">
      <c r="B1381" s="221" t="s">
        <v>87</v>
      </c>
      <c r="C1381" s="222">
        <v>0</v>
      </c>
      <c r="D1381" s="162"/>
    </row>
    <row r="1382" spans="2:4" x14ac:dyDescent="0.25">
      <c r="B1382" s="5"/>
      <c r="C1382" s="5"/>
      <c r="D1382" s="5"/>
    </row>
    <row r="1383" spans="2:4" x14ac:dyDescent="0.25">
      <c r="B1383" s="216" t="s">
        <v>290</v>
      </c>
      <c r="C1383" s="216" t="s">
        <v>130</v>
      </c>
      <c r="D1383" s="5"/>
    </row>
    <row r="1384" spans="2:4" x14ac:dyDescent="0.25">
      <c r="B1384" s="447" t="s">
        <v>23</v>
      </c>
      <c r="C1384" s="448" t="s">
        <v>117</v>
      </c>
      <c r="D1384" s="449" t="s">
        <v>26</v>
      </c>
    </row>
    <row r="1385" spans="2:4" x14ac:dyDescent="0.25">
      <c r="B1385" s="152" t="s">
        <v>93</v>
      </c>
      <c r="C1385" s="5">
        <v>19</v>
      </c>
      <c r="D1385" s="151" t="s">
        <v>605</v>
      </c>
    </row>
    <row r="1386" spans="2:4" x14ac:dyDescent="0.25">
      <c r="B1386" s="152">
        <v>4</v>
      </c>
      <c r="C1386" s="5">
        <v>2</v>
      </c>
      <c r="D1386" s="151"/>
    </row>
    <row r="1387" spans="2:4" x14ac:dyDescent="0.25">
      <c r="B1387" s="152">
        <v>8</v>
      </c>
      <c r="C1387" s="5">
        <v>0</v>
      </c>
      <c r="D1387" s="151"/>
    </row>
    <row r="1388" spans="2:4" x14ac:dyDescent="0.25">
      <c r="B1388" s="152">
        <v>16</v>
      </c>
      <c r="C1388" s="5">
        <v>0</v>
      </c>
      <c r="D1388" s="151"/>
    </row>
    <row r="1389" spans="2:4" x14ac:dyDescent="0.25">
      <c r="B1389" s="210" t="s">
        <v>94</v>
      </c>
      <c r="C1389" s="222">
        <v>0</v>
      </c>
      <c r="D1389" s="162"/>
    </row>
    <row r="1390" spans="2:4" x14ac:dyDescent="0.25">
      <c r="B1390" s="5"/>
      <c r="C1390" s="5"/>
      <c r="D1390" s="5"/>
    </row>
    <row r="1391" spans="2:4" x14ac:dyDescent="0.25">
      <c r="B1391" s="216" t="s">
        <v>346</v>
      </c>
      <c r="C1391" s="216" t="s">
        <v>275</v>
      </c>
      <c r="D1391" s="5"/>
    </row>
    <row r="1392" spans="2:4" x14ac:dyDescent="0.25">
      <c r="B1392" s="447" t="s">
        <v>23</v>
      </c>
      <c r="C1392" s="448" t="s">
        <v>117</v>
      </c>
      <c r="D1392" s="449" t="s">
        <v>26</v>
      </c>
    </row>
    <row r="1393" spans="2:4" x14ac:dyDescent="0.25">
      <c r="B1393" s="220" t="s">
        <v>389</v>
      </c>
      <c r="C1393" s="5">
        <v>0</v>
      </c>
      <c r="D1393" s="151"/>
    </row>
    <row r="1394" spans="2:4" x14ac:dyDescent="0.25">
      <c r="B1394" s="475">
        <v>8</v>
      </c>
      <c r="C1394" s="5">
        <v>0</v>
      </c>
      <c r="D1394" s="151"/>
    </row>
    <row r="1395" spans="2:4" x14ac:dyDescent="0.25">
      <c r="B1395" s="220">
        <v>16</v>
      </c>
      <c r="C1395" s="5">
        <v>0</v>
      </c>
      <c r="D1395" s="151"/>
    </row>
    <row r="1396" spans="2:4" x14ac:dyDescent="0.25">
      <c r="B1396" s="220">
        <v>32</v>
      </c>
      <c r="C1396" s="5">
        <v>0</v>
      </c>
      <c r="D1396" s="151"/>
    </row>
    <row r="1397" spans="2:4" x14ac:dyDescent="0.25">
      <c r="B1397" s="221" t="s">
        <v>101</v>
      </c>
      <c r="C1397" s="222">
        <v>21</v>
      </c>
      <c r="D1397" s="162"/>
    </row>
    <row r="1398" spans="2:4" x14ac:dyDescent="0.25">
      <c r="B1398" s="5"/>
      <c r="C1398" s="5"/>
      <c r="D1398" s="5"/>
    </row>
    <row r="1399" spans="2:4" x14ac:dyDescent="0.25">
      <c r="B1399" s="216" t="s">
        <v>546</v>
      </c>
      <c r="C1399" s="385" t="s">
        <v>275</v>
      </c>
      <c r="D1399" s="5"/>
    </row>
    <row r="1400" spans="2:4" x14ac:dyDescent="0.25">
      <c r="B1400" s="447" t="s">
        <v>23</v>
      </c>
      <c r="C1400" s="448" t="s">
        <v>117</v>
      </c>
      <c r="D1400" s="449" t="s">
        <v>26</v>
      </c>
    </row>
    <row r="1401" spans="2:4" x14ac:dyDescent="0.25">
      <c r="B1401" s="220" t="s">
        <v>93</v>
      </c>
      <c r="C1401" s="5">
        <v>0</v>
      </c>
      <c r="D1401" s="151"/>
    </row>
    <row r="1402" spans="2:4" x14ac:dyDescent="0.25">
      <c r="B1402" s="220">
        <v>4</v>
      </c>
      <c r="C1402" s="5">
        <v>0</v>
      </c>
      <c r="D1402" s="151"/>
    </row>
    <row r="1403" spans="2:4" x14ac:dyDescent="0.25">
      <c r="B1403" s="220">
        <v>8</v>
      </c>
      <c r="C1403" s="5">
        <v>0</v>
      </c>
      <c r="D1403" s="151"/>
    </row>
    <row r="1404" spans="2:4" x14ac:dyDescent="0.25">
      <c r="B1404" s="220">
        <v>16</v>
      </c>
      <c r="C1404" s="5">
        <v>0</v>
      </c>
      <c r="D1404" s="151"/>
    </row>
    <row r="1405" spans="2:4" x14ac:dyDescent="0.25">
      <c r="B1405" s="221" t="s">
        <v>94</v>
      </c>
      <c r="C1405" s="222">
        <v>21</v>
      </c>
      <c r="D1405" s="162" t="s">
        <v>606</v>
      </c>
    </row>
    <row r="1406" spans="2:4" x14ac:dyDescent="0.25">
      <c r="B1406" s="5"/>
      <c r="C1406" s="5"/>
      <c r="D1406" s="5"/>
    </row>
    <row r="1407" spans="2:4" x14ac:dyDescent="0.25">
      <c r="B1407" s="216" t="s">
        <v>607</v>
      </c>
      <c r="C1407" s="216" t="s">
        <v>275</v>
      </c>
      <c r="D1407" s="5"/>
    </row>
    <row r="1408" spans="2:4" x14ac:dyDescent="0.25">
      <c r="B1408" s="447" t="s">
        <v>23</v>
      </c>
      <c r="C1408" s="448" t="s">
        <v>117</v>
      </c>
      <c r="D1408" s="449" t="s">
        <v>26</v>
      </c>
    </row>
    <row r="1409" spans="2:4" x14ac:dyDescent="0.25">
      <c r="B1409" s="220" t="s">
        <v>389</v>
      </c>
      <c r="C1409" s="5">
        <v>0</v>
      </c>
      <c r="D1409" s="151"/>
    </row>
    <row r="1410" spans="2:4" x14ac:dyDescent="0.25">
      <c r="B1410" s="475">
        <v>8</v>
      </c>
      <c r="C1410" s="5">
        <v>0</v>
      </c>
      <c r="D1410" s="151"/>
    </row>
    <row r="1411" spans="2:4" x14ac:dyDescent="0.25">
      <c r="B1411" s="220">
        <v>16</v>
      </c>
      <c r="C1411" s="5">
        <v>0</v>
      </c>
      <c r="D1411" s="151"/>
    </row>
    <row r="1412" spans="2:4" x14ac:dyDescent="0.25">
      <c r="B1412" s="220">
        <v>32</v>
      </c>
      <c r="C1412" s="5">
        <v>0</v>
      </c>
      <c r="D1412" s="151"/>
    </row>
    <row r="1413" spans="2:4" x14ac:dyDescent="0.25">
      <c r="B1413" s="221" t="s">
        <v>101</v>
      </c>
      <c r="C1413" s="222">
        <v>21</v>
      </c>
      <c r="D1413" s="162"/>
    </row>
    <row r="1414" spans="2:4" x14ac:dyDescent="0.25">
      <c r="B1414" s="5"/>
      <c r="C1414" s="5"/>
      <c r="D1414" s="5"/>
    </row>
    <row r="1415" spans="2:4" x14ac:dyDescent="0.25">
      <c r="B1415" s="216" t="s">
        <v>499</v>
      </c>
      <c r="C1415" s="216" t="s">
        <v>608</v>
      </c>
      <c r="D1415" s="5"/>
    </row>
    <row r="1416" spans="2:4" x14ac:dyDescent="0.25">
      <c r="B1416" s="447" t="s">
        <v>23</v>
      </c>
      <c r="C1416" s="448" t="s">
        <v>117</v>
      </c>
      <c r="D1416" s="449" t="s">
        <v>26</v>
      </c>
    </row>
    <row r="1417" spans="2:4" x14ac:dyDescent="0.25">
      <c r="B1417" s="220" t="s">
        <v>389</v>
      </c>
      <c r="C1417" s="5">
        <v>0</v>
      </c>
      <c r="D1417" s="151"/>
    </row>
    <row r="1418" spans="2:4" x14ac:dyDescent="0.25">
      <c r="B1418" s="220">
        <v>8</v>
      </c>
      <c r="C1418" s="5">
        <v>0</v>
      </c>
      <c r="D1418" s="151"/>
    </row>
    <row r="1419" spans="2:4" x14ac:dyDescent="0.25">
      <c r="B1419" s="220">
        <v>16</v>
      </c>
      <c r="C1419" s="5">
        <v>0</v>
      </c>
      <c r="D1419" s="151"/>
    </row>
    <row r="1420" spans="2:4" x14ac:dyDescent="0.25">
      <c r="B1420" s="220">
        <v>32</v>
      </c>
      <c r="C1420" s="5">
        <v>0</v>
      </c>
      <c r="D1420" s="151"/>
    </row>
    <row r="1421" spans="2:4" x14ac:dyDescent="0.25">
      <c r="B1421" s="221" t="s">
        <v>101</v>
      </c>
      <c r="C1421" s="222">
        <v>21</v>
      </c>
      <c r="D1421" s="162"/>
    </row>
    <row r="1422" spans="2:4" x14ac:dyDescent="0.25">
      <c r="B1422" s="5"/>
      <c r="C1422" s="5"/>
      <c r="D1422" s="5"/>
    </row>
    <row r="1423" spans="2:4" x14ac:dyDescent="0.25">
      <c r="B1423" s="216" t="s">
        <v>319</v>
      </c>
      <c r="C1423" s="216" t="s">
        <v>275</v>
      </c>
      <c r="D1423" s="5"/>
    </row>
    <row r="1424" spans="2:4" x14ac:dyDescent="0.25">
      <c r="B1424" s="447" t="s">
        <v>23</v>
      </c>
      <c r="C1424" s="448" t="s">
        <v>117</v>
      </c>
      <c r="D1424" s="449" t="s">
        <v>26</v>
      </c>
    </row>
    <row r="1425" spans="2:4" x14ac:dyDescent="0.25">
      <c r="B1425" s="220" t="s">
        <v>82</v>
      </c>
      <c r="C1425" s="5">
        <v>1</v>
      </c>
      <c r="D1425" s="151"/>
    </row>
    <row r="1426" spans="2:4" x14ac:dyDescent="0.25">
      <c r="B1426" s="475">
        <v>2</v>
      </c>
      <c r="C1426" s="5">
        <v>0</v>
      </c>
      <c r="D1426" s="151"/>
    </row>
    <row r="1427" spans="2:4" x14ac:dyDescent="0.25">
      <c r="B1427" s="220">
        <v>4</v>
      </c>
      <c r="C1427" s="5">
        <v>0</v>
      </c>
      <c r="D1427" s="151"/>
    </row>
    <row r="1428" spans="2:4" x14ac:dyDescent="0.25">
      <c r="B1428" s="220">
        <v>8</v>
      </c>
      <c r="C1428" s="5">
        <v>1</v>
      </c>
      <c r="D1428" s="151"/>
    </row>
    <row r="1429" spans="2:4" x14ac:dyDescent="0.25">
      <c r="B1429" s="220">
        <v>16</v>
      </c>
      <c r="C1429" s="5">
        <v>3</v>
      </c>
      <c r="D1429" s="151"/>
    </row>
    <row r="1430" spans="2:4" x14ac:dyDescent="0.25">
      <c r="B1430" s="220">
        <v>32</v>
      </c>
      <c r="C1430" s="5">
        <v>5</v>
      </c>
      <c r="D1430" s="151"/>
    </row>
    <row r="1431" spans="2:4" x14ac:dyDescent="0.25">
      <c r="B1431" s="220">
        <v>64</v>
      </c>
      <c r="C1431" s="5">
        <v>5</v>
      </c>
      <c r="D1431" s="151"/>
    </row>
    <row r="1432" spans="2:4" x14ac:dyDescent="0.25">
      <c r="B1432" s="221" t="s">
        <v>407</v>
      </c>
      <c r="C1432" s="222">
        <v>6</v>
      </c>
      <c r="D1432" s="162"/>
    </row>
    <row r="1433" spans="2:4" x14ac:dyDescent="0.25">
      <c r="B1433" s="5"/>
      <c r="C1433" s="5"/>
      <c r="D1433" s="5"/>
    </row>
    <row r="1434" spans="2:4" x14ac:dyDescent="0.25">
      <c r="B1434" s="216" t="s">
        <v>224</v>
      </c>
      <c r="C1434" s="216" t="s">
        <v>608</v>
      </c>
      <c r="D1434" s="5"/>
    </row>
    <row r="1435" spans="2:4" x14ac:dyDescent="0.25">
      <c r="B1435" s="472" t="s">
        <v>23</v>
      </c>
      <c r="C1435" s="448" t="s">
        <v>117</v>
      </c>
      <c r="D1435" s="449" t="s">
        <v>26</v>
      </c>
    </row>
    <row r="1436" spans="2:4" x14ac:dyDescent="0.25">
      <c r="B1436" s="218" t="s">
        <v>389</v>
      </c>
      <c r="C1436" s="5">
        <v>0</v>
      </c>
      <c r="D1436" s="151"/>
    </row>
    <row r="1437" spans="2:4" x14ac:dyDescent="0.25">
      <c r="B1437" s="220">
        <v>8</v>
      </c>
      <c r="C1437" s="5">
        <v>0</v>
      </c>
      <c r="D1437" s="151"/>
    </row>
    <row r="1438" spans="2:4" x14ac:dyDescent="0.25">
      <c r="B1438" s="220">
        <v>16</v>
      </c>
      <c r="C1438" s="5">
        <v>1</v>
      </c>
      <c r="D1438" s="151"/>
    </row>
    <row r="1439" spans="2:4" x14ac:dyDescent="0.25">
      <c r="B1439" s="220">
        <v>32</v>
      </c>
      <c r="C1439" s="5">
        <v>0</v>
      </c>
      <c r="D1439" s="151"/>
    </row>
    <row r="1440" spans="2:4" x14ac:dyDescent="0.25">
      <c r="B1440" s="221" t="s">
        <v>101</v>
      </c>
      <c r="C1440" s="222">
        <v>20</v>
      </c>
      <c r="D1440" s="162"/>
    </row>
    <row r="1441" spans="2:4" x14ac:dyDescent="0.25">
      <c r="B1441" s="5"/>
      <c r="C1441" s="5"/>
      <c r="D1441" s="5"/>
    </row>
    <row r="1442" spans="2:4" x14ac:dyDescent="0.25">
      <c r="B1442" s="216" t="s">
        <v>518</v>
      </c>
      <c r="C1442" s="216" t="s">
        <v>609</v>
      </c>
      <c r="D1442" s="5"/>
    </row>
    <row r="1443" spans="2:4" x14ac:dyDescent="0.25">
      <c r="B1443" s="447" t="s">
        <v>23</v>
      </c>
      <c r="C1443" s="448" t="s">
        <v>117</v>
      </c>
      <c r="D1443" s="449" t="s">
        <v>26</v>
      </c>
    </row>
    <row r="1444" spans="2:4" x14ac:dyDescent="0.25">
      <c r="B1444" s="220" t="s">
        <v>93</v>
      </c>
      <c r="C1444" s="5">
        <v>0</v>
      </c>
      <c r="D1444" s="151"/>
    </row>
    <row r="1445" spans="2:4" x14ac:dyDescent="0.25">
      <c r="B1445" s="220">
        <v>4</v>
      </c>
      <c r="C1445" s="5">
        <v>0</v>
      </c>
      <c r="D1445" s="151"/>
    </row>
    <row r="1446" spans="2:4" x14ac:dyDescent="0.25">
      <c r="B1446" s="220">
        <v>8</v>
      </c>
      <c r="C1446" s="5">
        <v>0</v>
      </c>
      <c r="D1446" s="151"/>
    </row>
    <row r="1447" spans="2:4" x14ac:dyDescent="0.25">
      <c r="B1447" s="220">
        <v>16</v>
      </c>
      <c r="C1447" s="5">
        <v>0</v>
      </c>
      <c r="D1447" s="151"/>
    </row>
    <row r="1448" spans="2:4" x14ac:dyDescent="0.25">
      <c r="B1448" s="221" t="s">
        <v>94</v>
      </c>
      <c r="C1448" s="222">
        <v>21</v>
      </c>
      <c r="D1448" s="162"/>
    </row>
    <row r="1449" spans="2:4" x14ac:dyDescent="0.25">
      <c r="B1449" s="5"/>
      <c r="C1449" s="5"/>
      <c r="D1449" s="5"/>
    </row>
    <row r="1450" spans="2:4" x14ac:dyDescent="0.25">
      <c r="B1450" s="216" t="s">
        <v>491</v>
      </c>
      <c r="C1450" s="216" t="s">
        <v>608</v>
      </c>
      <c r="D1450" s="5"/>
    </row>
    <row r="1451" spans="2:4" x14ac:dyDescent="0.25">
      <c r="B1451" s="447" t="s">
        <v>23</v>
      </c>
      <c r="C1451" s="448" t="s">
        <v>117</v>
      </c>
      <c r="D1451" s="449" t="s">
        <v>26</v>
      </c>
    </row>
    <row r="1452" spans="2:4" x14ac:dyDescent="0.25">
      <c r="B1452" s="220" t="s">
        <v>389</v>
      </c>
      <c r="C1452" s="5">
        <v>0</v>
      </c>
      <c r="D1452" s="151"/>
    </row>
    <row r="1453" spans="2:4" x14ac:dyDescent="0.25">
      <c r="B1453" s="220">
        <v>8</v>
      </c>
      <c r="C1453" s="5">
        <v>0</v>
      </c>
      <c r="D1453" s="151"/>
    </row>
    <row r="1454" spans="2:4" x14ac:dyDescent="0.25">
      <c r="B1454" s="220">
        <v>16</v>
      </c>
      <c r="C1454" s="5">
        <v>1</v>
      </c>
      <c r="D1454" s="151"/>
    </row>
    <row r="1455" spans="2:4" x14ac:dyDescent="0.25">
      <c r="B1455" s="220">
        <v>32</v>
      </c>
      <c r="C1455" s="5">
        <v>0</v>
      </c>
      <c r="D1455" s="151"/>
    </row>
    <row r="1456" spans="2:4" x14ac:dyDescent="0.25">
      <c r="B1456" s="221" t="s">
        <v>101</v>
      </c>
      <c r="C1456" s="222">
        <v>20</v>
      </c>
      <c r="D1456" s="162"/>
    </row>
    <row r="1457" spans="2:7" x14ac:dyDescent="0.25">
      <c r="B1457" s="5"/>
      <c r="C1457" s="5"/>
      <c r="D1457" s="5"/>
    </row>
    <row r="1458" spans="2:7" x14ac:dyDescent="0.25">
      <c r="B1458" s="216" t="s">
        <v>322</v>
      </c>
      <c r="C1458" s="216" t="s">
        <v>275</v>
      </c>
      <c r="D1458" s="5"/>
    </row>
    <row r="1459" spans="2:7" x14ac:dyDescent="0.25">
      <c r="B1459" s="447" t="s">
        <v>23</v>
      </c>
      <c r="C1459" s="448" t="s">
        <v>117</v>
      </c>
      <c r="D1459" s="449" t="s">
        <v>26</v>
      </c>
    </row>
    <row r="1460" spans="2:7" x14ac:dyDescent="0.25">
      <c r="B1460" s="220" t="s">
        <v>93</v>
      </c>
      <c r="C1460" s="5">
        <v>10</v>
      </c>
      <c r="D1460" s="151"/>
    </row>
    <row r="1461" spans="2:7" x14ac:dyDescent="0.25">
      <c r="B1461" s="220">
        <v>4</v>
      </c>
      <c r="C1461" s="5">
        <v>3</v>
      </c>
      <c r="D1461" s="151"/>
    </row>
    <row r="1462" spans="2:7" x14ac:dyDescent="0.25">
      <c r="B1462" s="220">
        <v>8</v>
      </c>
      <c r="C1462" s="5">
        <v>4</v>
      </c>
      <c r="D1462" s="151"/>
    </row>
    <row r="1463" spans="2:7" x14ac:dyDescent="0.25">
      <c r="B1463" s="220">
        <v>16</v>
      </c>
      <c r="C1463" s="5">
        <v>2</v>
      </c>
      <c r="D1463" s="151"/>
    </row>
    <row r="1464" spans="2:7" x14ac:dyDescent="0.25">
      <c r="B1464" s="221" t="s">
        <v>94</v>
      </c>
      <c r="C1464" s="222">
        <v>2</v>
      </c>
      <c r="D1464" s="162"/>
    </row>
    <row r="1467" spans="2:7" s="7" customFormat="1" ht="18.75" x14ac:dyDescent="0.3">
      <c r="B1467" s="8" t="s">
        <v>610</v>
      </c>
    </row>
    <row r="1469" spans="2:7" ht="19.5" thickBot="1" x14ac:dyDescent="0.35">
      <c r="B1469" s="9" t="s">
        <v>457</v>
      </c>
      <c r="C1469" s="78"/>
      <c r="D1469" s="12"/>
    </row>
    <row r="1470" spans="2:7" x14ac:dyDescent="0.25">
      <c r="B1470" s="20" t="s">
        <v>22</v>
      </c>
      <c r="C1470" s="21" t="s">
        <v>23</v>
      </c>
      <c r="D1470" s="21" t="s">
        <v>24</v>
      </c>
      <c r="E1470" s="21" t="s">
        <v>25</v>
      </c>
      <c r="F1470" s="22" t="s">
        <v>26</v>
      </c>
      <c r="G1470" s="23" t="s">
        <v>27</v>
      </c>
    </row>
    <row r="1471" spans="2:7" x14ac:dyDescent="0.25">
      <c r="B1471" s="29" t="s">
        <v>31</v>
      </c>
      <c r="C1471" s="107" t="s">
        <v>335</v>
      </c>
      <c r="D1471" s="31">
        <v>1</v>
      </c>
      <c r="E1471" s="110">
        <v>0</v>
      </c>
      <c r="F1471" s="110"/>
      <c r="G1471" s="109">
        <v>2</v>
      </c>
    </row>
    <row r="1472" spans="2:7" x14ac:dyDescent="0.25">
      <c r="B1472" s="42"/>
      <c r="C1472" s="481">
        <v>1</v>
      </c>
      <c r="D1472" s="41">
        <v>0</v>
      </c>
      <c r="E1472" s="41">
        <v>0</v>
      </c>
      <c r="F1472" s="41"/>
      <c r="G1472" s="172"/>
    </row>
    <row r="1473" spans="2:7" ht="15" customHeight="1" x14ac:dyDescent="0.25">
      <c r="B1473" s="42"/>
      <c r="C1473" s="30">
        <v>2</v>
      </c>
      <c r="D1473" s="41">
        <v>0</v>
      </c>
      <c r="E1473" s="41">
        <v>0</v>
      </c>
      <c r="F1473" s="41"/>
      <c r="G1473" s="172"/>
    </row>
    <row r="1474" spans="2:7" x14ac:dyDescent="0.25">
      <c r="B1474" s="47"/>
      <c r="C1474" s="48">
        <v>4</v>
      </c>
      <c r="D1474" s="58">
        <v>1</v>
      </c>
      <c r="E1474" s="59">
        <v>0</v>
      </c>
      <c r="F1474" s="59"/>
      <c r="G1474" s="115"/>
    </row>
    <row r="1475" spans="2:7" x14ac:dyDescent="0.25">
      <c r="B1475" s="60" t="s">
        <v>32</v>
      </c>
      <c r="C1475" s="30" t="s">
        <v>119</v>
      </c>
      <c r="D1475" s="41">
        <v>0</v>
      </c>
      <c r="E1475" s="41">
        <v>0</v>
      </c>
      <c r="F1475" s="41"/>
      <c r="G1475" s="382">
        <v>0</v>
      </c>
    </row>
    <row r="1476" spans="2:7" ht="15.75" thickBot="1" x14ac:dyDescent="0.3">
      <c r="B1476" s="476"/>
      <c r="C1476" s="477"/>
      <c r="D1476" s="478">
        <v>2</v>
      </c>
      <c r="E1476" s="478">
        <v>0</v>
      </c>
      <c r="F1476" s="478"/>
      <c r="G1476" s="479"/>
    </row>
    <row r="1477" spans="2:7" x14ac:dyDescent="0.25">
      <c r="C1477" s="78"/>
    </row>
    <row r="1479" spans="2:7" ht="18.75" x14ac:dyDescent="0.3">
      <c r="B1479" s="9" t="s">
        <v>611</v>
      </c>
    </row>
    <row r="1480" spans="2:7" x14ac:dyDescent="0.25">
      <c r="B1480" s="25"/>
      <c r="C1480" s="26" t="s">
        <v>24</v>
      </c>
      <c r="D1480" s="27" t="s">
        <v>25</v>
      </c>
      <c r="E1480" s="27" t="s">
        <v>27</v>
      </c>
      <c r="F1480" s="28" t="s">
        <v>28</v>
      </c>
    </row>
    <row r="1481" spans="2:7" x14ac:dyDescent="0.25">
      <c r="B1481" s="38" t="s">
        <v>109</v>
      </c>
      <c r="C1481" s="39">
        <v>2</v>
      </c>
      <c r="D1481" s="40">
        <v>0</v>
      </c>
      <c r="E1481" s="32">
        <f>SUM(C1481,D1481)</f>
        <v>2</v>
      </c>
      <c r="F1481" s="41">
        <f>E1481/E1483*100</f>
        <v>100</v>
      </c>
    </row>
    <row r="1482" spans="2:7" x14ac:dyDescent="0.25">
      <c r="B1482" s="56" t="s">
        <v>110</v>
      </c>
      <c r="C1482" s="57">
        <v>0</v>
      </c>
      <c r="D1482" s="58">
        <v>0</v>
      </c>
      <c r="E1482" s="50">
        <f>SUM(C1482,D1482)</f>
        <v>0</v>
      </c>
      <c r="F1482" s="59">
        <f>E1482/E1483*100</f>
        <v>0</v>
      </c>
    </row>
    <row r="1483" spans="2:7" x14ac:dyDescent="0.25">
      <c r="B1483" s="56" t="s">
        <v>27</v>
      </c>
      <c r="C1483" s="64">
        <f>SUM(C1481,C1482)</f>
        <v>2</v>
      </c>
      <c r="D1483" s="50">
        <f>SUM(D1481,D1482)</f>
        <v>0</v>
      </c>
      <c r="E1483" s="50">
        <f>SUM(C1481:D1482)</f>
        <v>2</v>
      </c>
      <c r="F1483" s="59"/>
    </row>
    <row r="1484" spans="2:7" x14ac:dyDescent="0.25">
      <c r="B1484" s="56" t="s">
        <v>28</v>
      </c>
      <c r="C1484" s="64">
        <f>C1483/E1483*100</f>
        <v>100</v>
      </c>
      <c r="D1484" s="59">
        <f>D1483/E1483*100</f>
        <v>0</v>
      </c>
      <c r="E1484" s="59"/>
      <c r="F1484" s="59"/>
    </row>
    <row r="1487" spans="2:7" ht="18.75" x14ac:dyDescent="0.3">
      <c r="B1487" s="214" t="s">
        <v>131</v>
      </c>
    </row>
    <row r="1488" spans="2:7" x14ac:dyDescent="0.25">
      <c r="B1488" s="78" t="s">
        <v>344</v>
      </c>
    </row>
    <row r="1490" spans="2:23" x14ac:dyDescent="0.25">
      <c r="B1490" s="534" t="s">
        <v>345</v>
      </c>
      <c r="C1490" s="535" t="s">
        <v>346</v>
      </c>
      <c r="D1490" s="535" t="s">
        <v>612</v>
      </c>
      <c r="E1490" s="535" t="s">
        <v>613</v>
      </c>
      <c r="F1490" s="535" t="s">
        <v>614</v>
      </c>
      <c r="G1490" s="535" t="s">
        <v>499</v>
      </c>
      <c r="H1490" s="535" t="s">
        <v>546</v>
      </c>
      <c r="I1490" s="535" t="s">
        <v>224</v>
      </c>
      <c r="J1490" s="535" t="s">
        <v>607</v>
      </c>
      <c r="K1490" s="535" t="s">
        <v>518</v>
      </c>
      <c r="L1490" s="535" t="s">
        <v>615</v>
      </c>
      <c r="M1490" s="535" t="s">
        <v>319</v>
      </c>
      <c r="N1490" s="535" t="s">
        <v>321</v>
      </c>
      <c r="O1490" s="535" t="s">
        <v>616</v>
      </c>
      <c r="P1490" s="535" t="s">
        <v>617</v>
      </c>
      <c r="Q1490" s="535" t="s">
        <v>322</v>
      </c>
      <c r="R1490" s="535" t="s">
        <v>284</v>
      </c>
      <c r="S1490" s="535" t="s">
        <v>290</v>
      </c>
      <c r="T1490" s="535" t="s">
        <v>525</v>
      </c>
      <c r="U1490" s="535" t="s">
        <v>618</v>
      </c>
      <c r="V1490" s="535" t="s">
        <v>270</v>
      </c>
      <c r="W1490" s="535" t="s">
        <v>324</v>
      </c>
    </row>
    <row r="1491" spans="2:23" x14ac:dyDescent="0.25">
      <c r="B1491" s="64" t="s">
        <v>351</v>
      </c>
      <c r="C1491" s="5" t="s">
        <v>619</v>
      </c>
      <c r="D1491" s="5" t="s">
        <v>619</v>
      </c>
      <c r="E1491" s="5" t="s">
        <v>620</v>
      </c>
      <c r="F1491" s="5" t="s">
        <v>621</v>
      </c>
      <c r="G1491" s="5" t="s">
        <v>619</v>
      </c>
      <c r="H1491" s="5" t="s">
        <v>356</v>
      </c>
      <c r="I1491" s="5" t="s">
        <v>619</v>
      </c>
      <c r="J1491" s="5" t="s">
        <v>619</v>
      </c>
      <c r="K1491" s="5" t="s">
        <v>356</v>
      </c>
      <c r="L1491" s="5" t="s">
        <v>622</v>
      </c>
      <c r="M1491" s="5" t="s">
        <v>623</v>
      </c>
      <c r="N1491" s="5" t="s">
        <v>619</v>
      </c>
      <c r="O1491" s="5" t="s">
        <v>619</v>
      </c>
      <c r="P1491" s="5" t="s">
        <v>624</v>
      </c>
      <c r="Q1491" s="5" t="s">
        <v>356</v>
      </c>
      <c r="R1491" s="5" t="s">
        <v>355</v>
      </c>
      <c r="S1491" s="5" t="s">
        <v>356</v>
      </c>
      <c r="T1491" s="5" t="s">
        <v>625</v>
      </c>
      <c r="U1491" s="5" t="s">
        <v>626</v>
      </c>
      <c r="V1491" s="5" t="s">
        <v>627</v>
      </c>
      <c r="W1491" s="5" t="s">
        <v>624</v>
      </c>
    </row>
    <row r="1492" spans="2:23" x14ac:dyDescent="0.25">
      <c r="B1492" s="534" t="s">
        <v>360</v>
      </c>
      <c r="C1492" s="535" t="s">
        <v>504</v>
      </c>
      <c r="D1492" s="535" t="s">
        <v>504</v>
      </c>
      <c r="E1492" s="535" t="s">
        <v>504</v>
      </c>
      <c r="F1492" s="535" t="s">
        <v>130</v>
      </c>
      <c r="G1492" s="535" t="s">
        <v>504</v>
      </c>
      <c r="H1492" s="535" t="s">
        <v>504</v>
      </c>
      <c r="I1492" s="535" t="s">
        <v>504</v>
      </c>
      <c r="J1492" s="535" t="s">
        <v>504</v>
      </c>
      <c r="K1492" s="535" t="s">
        <v>130</v>
      </c>
      <c r="L1492" s="535" t="s">
        <v>130</v>
      </c>
      <c r="M1492" s="535" t="s">
        <v>504</v>
      </c>
      <c r="N1492" s="535" t="s">
        <v>130</v>
      </c>
      <c r="O1492" s="535" t="s">
        <v>504</v>
      </c>
      <c r="P1492" s="535" t="s">
        <v>504</v>
      </c>
      <c r="Q1492" s="535" t="s">
        <v>504</v>
      </c>
      <c r="R1492" s="535" t="s">
        <v>130</v>
      </c>
      <c r="S1492" s="535" t="s">
        <v>504</v>
      </c>
      <c r="T1492" s="535" t="s">
        <v>504</v>
      </c>
      <c r="U1492" s="535" t="s">
        <v>504</v>
      </c>
      <c r="V1492" s="535" t="s">
        <v>504</v>
      </c>
      <c r="W1492" s="535" t="s">
        <v>130</v>
      </c>
    </row>
    <row r="1493" spans="2:23" ht="15" customHeight="1" x14ac:dyDescent="0.25">
      <c r="B1493" s="536" t="s">
        <v>361</v>
      </c>
      <c r="C1493" s="537" t="s">
        <v>339</v>
      </c>
      <c r="D1493" s="538" t="s">
        <v>628</v>
      </c>
      <c r="E1493" s="537" t="s">
        <v>629</v>
      </c>
      <c r="F1493" s="537" t="s">
        <v>630</v>
      </c>
      <c r="G1493" s="537" t="s">
        <v>339</v>
      </c>
      <c r="H1493" s="537" t="s">
        <v>139</v>
      </c>
      <c r="I1493" s="537" t="s">
        <v>339</v>
      </c>
      <c r="J1493" s="537" t="s">
        <v>339</v>
      </c>
      <c r="K1493" s="537" t="s">
        <v>139</v>
      </c>
      <c r="L1493" s="537">
        <v>16</v>
      </c>
      <c r="M1493" s="537" t="s">
        <v>264</v>
      </c>
      <c r="N1493" s="537">
        <v>8</v>
      </c>
      <c r="O1493" s="537">
        <v>32</v>
      </c>
      <c r="P1493" s="537" t="s">
        <v>61</v>
      </c>
      <c r="Q1493" s="537" t="s">
        <v>139</v>
      </c>
      <c r="R1493" s="537">
        <v>2</v>
      </c>
      <c r="S1493" s="537" t="s">
        <v>139</v>
      </c>
      <c r="T1493" s="537" t="s">
        <v>61</v>
      </c>
      <c r="U1493" s="537">
        <v>16</v>
      </c>
      <c r="V1493" s="539">
        <v>16</v>
      </c>
      <c r="W1493" s="537" t="s">
        <v>232</v>
      </c>
    </row>
    <row r="1494" spans="2:23" x14ac:dyDescent="0.25">
      <c r="B1494" s="484"/>
      <c r="C1494" s="230"/>
      <c r="D1494" s="230"/>
      <c r="E1494" s="230"/>
      <c r="F1494" s="230"/>
      <c r="G1494" s="230"/>
      <c r="H1494" s="230"/>
      <c r="I1494" s="230"/>
      <c r="J1494" s="230"/>
      <c r="K1494" s="230"/>
      <c r="L1494" s="230"/>
      <c r="M1494" s="230"/>
      <c r="N1494" s="230"/>
      <c r="O1494" s="230"/>
      <c r="P1494" s="230"/>
      <c r="Q1494" s="230"/>
      <c r="R1494" s="230"/>
      <c r="S1494" s="230"/>
      <c r="T1494" s="230" t="s">
        <v>631</v>
      </c>
      <c r="U1494" s="230" t="s">
        <v>631</v>
      </c>
      <c r="V1494" s="230"/>
      <c r="W1494" s="230"/>
    </row>
    <row r="1495" spans="2:23" x14ac:dyDescent="0.25">
      <c r="B1495" s="484"/>
      <c r="C1495" s="230" t="s">
        <v>339</v>
      </c>
      <c r="D1495" s="540" t="s">
        <v>628</v>
      </c>
      <c r="E1495" s="230" t="s">
        <v>632</v>
      </c>
      <c r="F1495" s="230" t="s">
        <v>630</v>
      </c>
      <c r="G1495" s="230" t="s">
        <v>339</v>
      </c>
      <c r="H1495" s="230" t="s">
        <v>139</v>
      </c>
      <c r="I1495" s="230" t="s">
        <v>339</v>
      </c>
      <c r="J1495" s="230" t="s">
        <v>339</v>
      </c>
      <c r="K1495" s="230" t="s">
        <v>139</v>
      </c>
      <c r="L1495" s="230">
        <v>2</v>
      </c>
      <c r="M1495" s="230">
        <v>64</v>
      </c>
      <c r="N1495" s="230">
        <v>8</v>
      </c>
      <c r="O1495" s="230">
        <v>32</v>
      </c>
      <c r="P1495" s="230" t="s">
        <v>61</v>
      </c>
      <c r="Q1495" s="230" t="s">
        <v>139</v>
      </c>
      <c r="R1495" s="230">
        <v>1</v>
      </c>
      <c r="S1495" s="230" t="s">
        <v>235</v>
      </c>
      <c r="T1495" s="230" t="s">
        <v>138</v>
      </c>
      <c r="U1495" s="230" t="s">
        <v>633</v>
      </c>
      <c r="V1495" s="541">
        <v>4</v>
      </c>
      <c r="W1495" s="230" t="s">
        <v>232</v>
      </c>
    </row>
    <row r="1496" spans="2:23" x14ac:dyDescent="0.25">
      <c r="B1496" s="487"/>
      <c r="C1496" s="442"/>
      <c r="D1496" s="442"/>
      <c r="E1496" s="442"/>
      <c r="F1496" s="442"/>
      <c r="G1496" s="442"/>
      <c r="H1496" s="442"/>
      <c r="I1496" s="442"/>
      <c r="J1496" s="442"/>
      <c r="K1496" s="442"/>
      <c r="L1496" s="442"/>
      <c r="M1496" s="442"/>
      <c r="N1496" s="442"/>
      <c r="O1496" s="442"/>
      <c r="P1496" s="442"/>
      <c r="Q1496" s="442"/>
      <c r="R1496" s="442"/>
      <c r="S1496" s="442"/>
      <c r="T1496" s="442"/>
      <c r="U1496" s="442"/>
      <c r="V1496" s="442"/>
      <c r="W1496" s="442"/>
    </row>
    <row r="1499" spans="2:23" s="7" customFormat="1" ht="23.25" customHeight="1" x14ac:dyDescent="0.3">
      <c r="B1499" s="8" t="s">
        <v>634</v>
      </c>
    </row>
    <row r="1501" spans="2:23" ht="19.5" thickBot="1" x14ac:dyDescent="0.35">
      <c r="B1501" s="9" t="s">
        <v>635</v>
      </c>
      <c r="C1501" s="204" t="s">
        <v>187</v>
      </c>
      <c r="D1501" s="12"/>
    </row>
    <row r="1502" spans="2:23" x14ac:dyDescent="0.25">
      <c r="B1502" s="20" t="s">
        <v>22</v>
      </c>
      <c r="C1502" s="21" t="s">
        <v>23</v>
      </c>
      <c r="D1502" s="21" t="s">
        <v>24</v>
      </c>
      <c r="E1502" s="21" t="s">
        <v>25</v>
      </c>
      <c r="F1502" s="22" t="s">
        <v>26</v>
      </c>
      <c r="G1502" s="23" t="s">
        <v>27</v>
      </c>
    </row>
    <row r="1503" spans="2:23" x14ac:dyDescent="0.25">
      <c r="B1503" s="29" t="s">
        <v>29</v>
      </c>
      <c r="C1503" s="30" t="s">
        <v>39</v>
      </c>
      <c r="D1503" s="31">
        <v>3</v>
      </c>
      <c r="E1503" s="41">
        <v>0</v>
      </c>
      <c r="F1503" s="41"/>
      <c r="G1503" s="120">
        <v>9</v>
      </c>
    </row>
    <row r="1504" spans="2:23" x14ac:dyDescent="0.25">
      <c r="B1504" s="42"/>
      <c r="C1504" s="30">
        <v>0.25</v>
      </c>
      <c r="D1504" s="31">
        <v>4</v>
      </c>
      <c r="E1504" s="41">
        <v>0</v>
      </c>
      <c r="F1504" s="41"/>
      <c r="G1504" s="135"/>
    </row>
    <row r="1505" spans="2:8" x14ac:dyDescent="0.25">
      <c r="B1505" s="42"/>
      <c r="C1505" s="30">
        <v>0.5</v>
      </c>
      <c r="D1505" s="41">
        <v>0</v>
      </c>
      <c r="E1505" s="41">
        <v>0</v>
      </c>
      <c r="F1505" s="41"/>
      <c r="G1505" s="135"/>
    </row>
    <row r="1506" spans="2:8" x14ac:dyDescent="0.25">
      <c r="B1506" s="47"/>
      <c r="C1506" s="48">
        <v>1</v>
      </c>
      <c r="D1506" s="58">
        <v>2</v>
      </c>
      <c r="E1506" s="59">
        <v>0</v>
      </c>
      <c r="F1506" s="59"/>
      <c r="G1506" s="121"/>
    </row>
    <row r="1507" spans="2:8" x14ac:dyDescent="0.25">
      <c r="B1507" s="29" t="s">
        <v>32</v>
      </c>
      <c r="C1507" s="30">
        <v>2</v>
      </c>
      <c r="D1507" s="41">
        <v>0</v>
      </c>
      <c r="E1507" s="41">
        <v>0</v>
      </c>
      <c r="F1507" s="41"/>
      <c r="G1507" s="120">
        <v>5</v>
      </c>
    </row>
    <row r="1508" spans="2:8" x14ac:dyDescent="0.25">
      <c r="B1508" s="42"/>
      <c r="C1508" s="30">
        <v>4</v>
      </c>
      <c r="D1508" s="41">
        <v>0</v>
      </c>
      <c r="E1508" s="41">
        <v>0</v>
      </c>
      <c r="F1508" s="41"/>
      <c r="G1508" s="135"/>
    </row>
    <row r="1509" spans="2:8" x14ac:dyDescent="0.25">
      <c r="B1509" s="47"/>
      <c r="C1509" s="48" t="s">
        <v>119</v>
      </c>
      <c r="D1509" s="59">
        <v>0</v>
      </c>
      <c r="E1509" s="58">
        <v>5</v>
      </c>
      <c r="F1509" s="59" t="s">
        <v>636</v>
      </c>
      <c r="G1509" s="121"/>
      <c r="H1509" s="12"/>
    </row>
    <row r="1510" spans="2:8" ht="15.75" thickBot="1" x14ac:dyDescent="0.3">
      <c r="B1510" s="70"/>
      <c r="C1510" s="71"/>
      <c r="D1510" s="173">
        <v>9</v>
      </c>
      <c r="E1510" s="173">
        <v>5</v>
      </c>
      <c r="F1510" s="173"/>
      <c r="G1510" s="138">
        <v>14</v>
      </c>
    </row>
    <row r="1511" spans="2:8" x14ac:dyDescent="0.25">
      <c r="C1511" s="78"/>
    </row>
    <row r="1512" spans="2:8" ht="19.5" thickBot="1" x14ac:dyDescent="0.35">
      <c r="B1512" s="9" t="s">
        <v>637</v>
      </c>
      <c r="C1512" s="462"/>
      <c r="D1512" s="12"/>
    </row>
    <row r="1513" spans="2:8" x14ac:dyDescent="0.25">
      <c r="B1513" s="20" t="s">
        <v>22</v>
      </c>
      <c r="C1513" s="21" t="s">
        <v>23</v>
      </c>
      <c r="D1513" s="21" t="s">
        <v>24</v>
      </c>
      <c r="E1513" s="21" t="s">
        <v>25</v>
      </c>
      <c r="F1513" s="22" t="s">
        <v>26</v>
      </c>
      <c r="G1513" s="23" t="s">
        <v>27</v>
      </c>
    </row>
    <row r="1514" spans="2:8" x14ac:dyDescent="0.25">
      <c r="B1514" s="155" t="s">
        <v>638</v>
      </c>
      <c r="C1514" s="464" t="s">
        <v>93</v>
      </c>
      <c r="D1514" s="480">
        <v>14</v>
      </c>
      <c r="E1514" s="28">
        <v>0</v>
      </c>
      <c r="F1514" s="28"/>
      <c r="G1514" s="468">
        <v>14</v>
      </c>
    </row>
    <row r="1515" spans="2:8" x14ac:dyDescent="0.25">
      <c r="B1515" s="29" t="s">
        <v>639</v>
      </c>
      <c r="C1515" s="30">
        <v>4</v>
      </c>
      <c r="D1515" s="41">
        <v>0</v>
      </c>
      <c r="E1515" s="41">
        <v>0</v>
      </c>
      <c r="F1515" s="41"/>
      <c r="G1515" s="120">
        <v>0</v>
      </c>
    </row>
    <row r="1516" spans="2:8" x14ac:dyDescent="0.25">
      <c r="B1516" s="42"/>
      <c r="C1516" s="30">
        <v>8</v>
      </c>
      <c r="D1516" s="41">
        <v>0</v>
      </c>
      <c r="E1516" s="41">
        <v>0</v>
      </c>
      <c r="F1516" s="41"/>
      <c r="G1516" s="135"/>
    </row>
    <row r="1517" spans="2:8" x14ac:dyDescent="0.25">
      <c r="B1517" s="42"/>
      <c r="C1517" s="30">
        <v>16</v>
      </c>
      <c r="D1517" s="41">
        <v>0</v>
      </c>
      <c r="E1517" s="41">
        <v>0</v>
      </c>
      <c r="F1517" s="41"/>
      <c r="G1517" s="135"/>
    </row>
    <row r="1518" spans="2:8" x14ac:dyDescent="0.25">
      <c r="B1518" s="47"/>
      <c r="C1518" s="48" t="s">
        <v>94</v>
      </c>
      <c r="D1518" s="59">
        <v>0</v>
      </c>
      <c r="E1518" s="59">
        <v>0</v>
      </c>
      <c r="F1518" s="59"/>
      <c r="G1518" s="121"/>
    </row>
    <row r="1519" spans="2:8" ht="15.75" thickBot="1" x14ac:dyDescent="0.3">
      <c r="B1519" s="70"/>
      <c r="C1519" s="71"/>
      <c r="D1519" s="173">
        <v>14</v>
      </c>
      <c r="E1519" s="173">
        <v>0</v>
      </c>
      <c r="F1519" s="173"/>
      <c r="G1519" s="138">
        <v>14</v>
      </c>
    </row>
    <row r="1520" spans="2:8" x14ac:dyDescent="0.25">
      <c r="C1520" s="78"/>
    </row>
    <row r="1521" spans="2:7" ht="19.5" thickBot="1" x14ac:dyDescent="0.35">
      <c r="B1521" s="9" t="s">
        <v>640</v>
      </c>
      <c r="C1521" s="462"/>
      <c r="D1521" s="12"/>
    </row>
    <row r="1522" spans="2:7" x14ac:dyDescent="0.25">
      <c r="B1522" s="20" t="s">
        <v>22</v>
      </c>
      <c r="C1522" s="21" t="s">
        <v>23</v>
      </c>
      <c r="D1522" s="21" t="s">
        <v>24</v>
      </c>
      <c r="E1522" s="21" t="s">
        <v>25</v>
      </c>
      <c r="F1522" s="22" t="s">
        <v>26</v>
      </c>
      <c r="G1522" s="23" t="s">
        <v>27</v>
      </c>
    </row>
    <row r="1523" spans="2:7" x14ac:dyDescent="0.25">
      <c r="B1523" s="29" t="s">
        <v>29</v>
      </c>
      <c r="C1523" s="30" t="s">
        <v>39</v>
      </c>
      <c r="D1523" s="31">
        <v>12</v>
      </c>
      <c r="E1523" s="41">
        <v>0</v>
      </c>
      <c r="F1523" s="41"/>
      <c r="G1523" s="109">
        <v>14</v>
      </c>
    </row>
    <row r="1524" spans="2:7" x14ac:dyDescent="0.25">
      <c r="B1524" s="47"/>
      <c r="C1524" s="48">
        <v>0.25</v>
      </c>
      <c r="D1524" s="58">
        <v>2</v>
      </c>
      <c r="E1524" s="59">
        <v>0</v>
      </c>
      <c r="F1524" s="59"/>
      <c r="G1524" s="115"/>
    </row>
    <row r="1525" spans="2:7" x14ac:dyDescent="0.25">
      <c r="B1525" s="29" t="s">
        <v>32</v>
      </c>
      <c r="C1525" s="30">
        <v>0.5</v>
      </c>
      <c r="D1525" s="41">
        <v>0</v>
      </c>
      <c r="E1525" s="41">
        <v>0</v>
      </c>
      <c r="F1525" s="41"/>
      <c r="G1525" s="109">
        <v>0</v>
      </c>
    </row>
    <row r="1526" spans="2:7" x14ac:dyDescent="0.25">
      <c r="B1526" s="42"/>
      <c r="C1526" s="30">
        <v>1</v>
      </c>
      <c r="D1526" s="41">
        <v>0</v>
      </c>
      <c r="E1526" s="41">
        <v>0</v>
      </c>
      <c r="F1526" s="41"/>
      <c r="G1526" s="172"/>
    </row>
    <row r="1527" spans="2:7" x14ac:dyDescent="0.25">
      <c r="B1527" s="42"/>
      <c r="C1527" s="30">
        <v>2</v>
      </c>
      <c r="D1527" s="41">
        <v>0</v>
      </c>
      <c r="E1527" s="41">
        <v>0</v>
      </c>
      <c r="F1527" s="41"/>
      <c r="G1527" s="172"/>
    </row>
    <row r="1528" spans="2:7" x14ac:dyDescent="0.25">
      <c r="B1528" s="47"/>
      <c r="C1528" s="48" t="s">
        <v>124</v>
      </c>
      <c r="D1528" s="59">
        <v>0</v>
      </c>
      <c r="E1528" s="59">
        <v>0</v>
      </c>
      <c r="F1528" s="59"/>
      <c r="G1528" s="115"/>
    </row>
    <row r="1529" spans="2:7" ht="15.75" thickBot="1" x14ac:dyDescent="0.3">
      <c r="B1529" s="70"/>
      <c r="C1529" s="71"/>
      <c r="D1529" s="173">
        <v>14</v>
      </c>
      <c r="E1529" s="71">
        <v>0</v>
      </c>
      <c r="F1529" s="71"/>
      <c r="G1529" s="138">
        <v>14</v>
      </c>
    </row>
    <row r="1530" spans="2:7" x14ac:dyDescent="0.25">
      <c r="C1530" s="78"/>
      <c r="E1530" s="78"/>
      <c r="F1530" s="78"/>
    </row>
    <row r="1531" spans="2:7" ht="19.5" thickBot="1" x14ac:dyDescent="0.35">
      <c r="B1531" s="9" t="s">
        <v>641</v>
      </c>
      <c r="C1531" s="462"/>
      <c r="D1531" s="12"/>
    </row>
    <row r="1532" spans="2:7" x14ac:dyDescent="0.25">
      <c r="B1532" s="20" t="s">
        <v>22</v>
      </c>
      <c r="C1532" s="21" t="s">
        <v>23</v>
      </c>
      <c r="D1532" s="21" t="s">
        <v>24</v>
      </c>
      <c r="E1532" s="21" t="s">
        <v>25</v>
      </c>
      <c r="F1532" s="22" t="s">
        <v>26</v>
      </c>
      <c r="G1532" s="23" t="s">
        <v>27</v>
      </c>
    </row>
    <row r="1533" spans="2:7" x14ac:dyDescent="0.25">
      <c r="B1533" s="463" t="s">
        <v>29</v>
      </c>
      <c r="C1533" s="464" t="s">
        <v>39</v>
      </c>
      <c r="D1533" s="480">
        <v>14</v>
      </c>
      <c r="E1533" s="28">
        <v>0</v>
      </c>
      <c r="F1533" s="28"/>
      <c r="G1533" s="468">
        <v>14</v>
      </c>
    </row>
    <row r="1534" spans="2:7" x14ac:dyDescent="0.25">
      <c r="B1534" s="29" t="s">
        <v>32</v>
      </c>
      <c r="C1534" s="30">
        <v>0.25</v>
      </c>
      <c r="D1534" s="41">
        <v>0</v>
      </c>
      <c r="E1534" s="41">
        <v>0</v>
      </c>
      <c r="F1534" s="41"/>
      <c r="G1534" s="542">
        <v>0</v>
      </c>
    </row>
    <row r="1535" spans="2:7" x14ac:dyDescent="0.25">
      <c r="B1535" s="42"/>
      <c r="C1535" s="30">
        <v>0.5</v>
      </c>
      <c r="D1535" s="41">
        <v>0</v>
      </c>
      <c r="E1535" s="41">
        <v>0</v>
      </c>
      <c r="F1535" s="41"/>
      <c r="G1535" s="543"/>
    </row>
    <row r="1536" spans="2:7" x14ac:dyDescent="0.25">
      <c r="B1536" s="42"/>
      <c r="C1536" s="30">
        <v>1</v>
      </c>
      <c r="D1536" s="41">
        <v>0</v>
      </c>
      <c r="E1536" s="41">
        <v>0</v>
      </c>
      <c r="F1536" s="41"/>
      <c r="G1536" s="543"/>
    </row>
    <row r="1537" spans="2:7" x14ac:dyDescent="0.25">
      <c r="B1537" s="47"/>
      <c r="C1537" s="48" t="s">
        <v>104</v>
      </c>
      <c r="D1537" s="59">
        <v>0</v>
      </c>
      <c r="E1537" s="59">
        <v>0</v>
      </c>
      <c r="F1537" s="59"/>
      <c r="G1537" s="544"/>
    </row>
    <row r="1538" spans="2:7" ht="15.75" thickBot="1" x14ac:dyDescent="0.3">
      <c r="B1538" s="70"/>
      <c r="C1538" s="71"/>
      <c r="D1538" s="173">
        <v>14</v>
      </c>
      <c r="E1538" s="173">
        <v>0</v>
      </c>
      <c r="F1538" s="173"/>
      <c r="G1538" s="138">
        <v>14</v>
      </c>
    </row>
    <row r="1539" spans="2:7" x14ac:dyDescent="0.25">
      <c r="C1539" s="78"/>
      <c r="E1539" s="78"/>
      <c r="F1539" s="78"/>
    </row>
    <row r="1540" spans="2:7" ht="19.5" thickBot="1" x14ac:dyDescent="0.35">
      <c r="B1540" s="9" t="s">
        <v>642</v>
      </c>
      <c r="C1540" s="204"/>
      <c r="D1540" s="12"/>
    </row>
    <row r="1541" spans="2:7" x14ac:dyDescent="0.25">
      <c r="B1541" s="20" t="s">
        <v>22</v>
      </c>
      <c r="C1541" s="21" t="s">
        <v>23</v>
      </c>
      <c r="D1541" s="21" t="s">
        <v>24</v>
      </c>
      <c r="E1541" s="21" t="s">
        <v>25</v>
      </c>
      <c r="F1541" s="22" t="s">
        <v>26</v>
      </c>
      <c r="G1541" s="23" t="s">
        <v>27</v>
      </c>
    </row>
    <row r="1542" spans="2:7" x14ac:dyDescent="0.25">
      <c r="B1542" s="29" t="s">
        <v>29</v>
      </c>
      <c r="C1542" s="30" t="s">
        <v>103</v>
      </c>
      <c r="D1542" s="31">
        <v>14</v>
      </c>
      <c r="E1542" s="41">
        <v>0</v>
      </c>
      <c r="F1542" s="41"/>
      <c r="G1542" s="120">
        <v>14</v>
      </c>
    </row>
    <row r="1543" spans="2:7" x14ac:dyDescent="0.25">
      <c r="B1543" s="42"/>
      <c r="C1543" s="30">
        <v>0.06</v>
      </c>
      <c r="D1543" s="41">
        <v>0</v>
      </c>
      <c r="E1543" s="41">
        <v>0</v>
      </c>
      <c r="F1543" s="41"/>
      <c r="G1543" s="135"/>
    </row>
    <row r="1544" spans="2:7" x14ac:dyDescent="0.25">
      <c r="B1544" s="47"/>
      <c r="C1544" s="48">
        <v>0.12</v>
      </c>
      <c r="D1544" s="59">
        <v>0</v>
      </c>
      <c r="E1544" s="59">
        <v>0</v>
      </c>
      <c r="F1544" s="59"/>
      <c r="G1544" s="121"/>
    </row>
    <row r="1545" spans="2:7" x14ac:dyDescent="0.25">
      <c r="B1545" s="29" t="s">
        <v>32</v>
      </c>
      <c r="C1545" s="30">
        <v>0.25</v>
      </c>
      <c r="D1545" s="41">
        <v>0</v>
      </c>
      <c r="E1545" s="41">
        <v>0</v>
      </c>
      <c r="F1545" s="41"/>
      <c r="G1545" s="120">
        <v>0</v>
      </c>
    </row>
    <row r="1546" spans="2:7" x14ac:dyDescent="0.25">
      <c r="B1546" s="42"/>
      <c r="C1546" s="30">
        <v>0.5</v>
      </c>
      <c r="D1546" s="41">
        <v>0</v>
      </c>
      <c r="E1546" s="41">
        <v>0</v>
      </c>
      <c r="F1546" s="41"/>
      <c r="G1546" s="135"/>
    </row>
    <row r="1547" spans="2:7" x14ac:dyDescent="0.25">
      <c r="B1547" s="42"/>
      <c r="C1547" s="30">
        <v>1</v>
      </c>
      <c r="D1547" s="41">
        <v>0</v>
      </c>
      <c r="E1547" s="41">
        <v>0</v>
      </c>
      <c r="F1547" s="41"/>
      <c r="G1547" s="135"/>
    </row>
    <row r="1548" spans="2:7" x14ac:dyDescent="0.25">
      <c r="B1548" s="42"/>
      <c r="C1548" s="30">
        <v>2</v>
      </c>
      <c r="D1548" s="41">
        <v>0</v>
      </c>
      <c r="E1548" s="41">
        <v>0</v>
      </c>
      <c r="F1548" s="41"/>
      <c r="G1548" s="135"/>
    </row>
    <row r="1549" spans="2:7" x14ac:dyDescent="0.25">
      <c r="B1549" s="47"/>
      <c r="C1549" s="48" t="s">
        <v>124</v>
      </c>
      <c r="D1549" s="59">
        <v>0</v>
      </c>
      <c r="E1549" s="59">
        <v>0</v>
      </c>
      <c r="F1549" s="59"/>
      <c r="G1549" s="121"/>
    </row>
    <row r="1550" spans="2:7" ht="15.75" thickBot="1" x14ac:dyDescent="0.3">
      <c r="B1550" s="70"/>
      <c r="C1550" s="71"/>
      <c r="D1550" s="173">
        <v>14</v>
      </c>
      <c r="E1550" s="71">
        <v>0</v>
      </c>
      <c r="F1550" s="71"/>
      <c r="G1550" s="138">
        <v>14</v>
      </c>
    </row>
    <row r="1551" spans="2:7" x14ac:dyDescent="0.25">
      <c r="C1551" s="78"/>
    </row>
    <row r="1552" spans="2:7" ht="19.5" thickBot="1" x14ac:dyDescent="0.35">
      <c r="B1552" s="9" t="s">
        <v>643</v>
      </c>
      <c r="C1552" s="462"/>
      <c r="D1552" s="12"/>
    </row>
    <row r="1553" spans="2:7" x14ac:dyDescent="0.25">
      <c r="B1553" s="20" t="s">
        <v>22</v>
      </c>
      <c r="C1553" s="21" t="s">
        <v>23</v>
      </c>
      <c r="D1553" s="21" t="s">
        <v>24</v>
      </c>
      <c r="E1553" s="21" t="s">
        <v>25</v>
      </c>
      <c r="F1553" s="22" t="s">
        <v>26</v>
      </c>
      <c r="G1553" s="23" t="s">
        <v>27</v>
      </c>
    </row>
    <row r="1554" spans="2:7" x14ac:dyDescent="0.25">
      <c r="B1554" s="29" t="s">
        <v>29</v>
      </c>
      <c r="C1554" s="30" t="s">
        <v>46</v>
      </c>
      <c r="D1554" s="31">
        <v>10</v>
      </c>
      <c r="E1554" s="41">
        <v>0</v>
      </c>
      <c r="F1554" s="41"/>
      <c r="G1554" s="120">
        <v>14</v>
      </c>
    </row>
    <row r="1555" spans="2:7" x14ac:dyDescent="0.25">
      <c r="B1555" s="42"/>
      <c r="C1555" s="30">
        <v>1</v>
      </c>
      <c r="D1555" s="31">
        <v>4</v>
      </c>
      <c r="E1555" s="41">
        <v>0</v>
      </c>
      <c r="F1555" s="41"/>
      <c r="G1555" s="135"/>
    </row>
    <row r="1556" spans="2:7" x14ac:dyDescent="0.25">
      <c r="B1556" s="47"/>
      <c r="C1556" s="48">
        <v>2</v>
      </c>
      <c r="D1556" s="59">
        <v>0</v>
      </c>
      <c r="E1556" s="59">
        <v>0</v>
      </c>
      <c r="F1556" s="59"/>
      <c r="G1556" s="121"/>
    </row>
    <row r="1557" spans="2:7" x14ac:dyDescent="0.25">
      <c r="B1557" s="29" t="s">
        <v>32</v>
      </c>
      <c r="C1557" s="30">
        <v>4</v>
      </c>
      <c r="D1557" s="41">
        <v>0</v>
      </c>
      <c r="E1557" s="41">
        <v>0</v>
      </c>
      <c r="F1557" s="41"/>
      <c r="G1557" s="120">
        <v>0</v>
      </c>
    </row>
    <row r="1558" spans="2:7" x14ac:dyDescent="0.25">
      <c r="B1558" s="47"/>
      <c r="C1558" s="48" t="s">
        <v>119</v>
      </c>
      <c r="D1558" s="59">
        <v>0</v>
      </c>
      <c r="E1558" s="59">
        <v>0</v>
      </c>
      <c r="F1558" s="59"/>
      <c r="G1558" s="121"/>
    </row>
    <row r="1559" spans="2:7" ht="15.75" thickBot="1" x14ac:dyDescent="0.3">
      <c r="B1559" s="70"/>
      <c r="C1559" s="71"/>
      <c r="D1559" s="173">
        <v>14</v>
      </c>
      <c r="E1559" s="173">
        <v>0</v>
      </c>
      <c r="F1559" s="173"/>
      <c r="G1559" s="138">
        <v>14</v>
      </c>
    </row>
    <row r="1560" spans="2:7" x14ac:dyDescent="0.25">
      <c r="C1560" s="78"/>
    </row>
    <row r="1561" spans="2:7" ht="19.5" thickBot="1" x14ac:dyDescent="0.35">
      <c r="B1561" s="15" t="s">
        <v>214</v>
      </c>
      <c r="C1561" s="204" t="s">
        <v>187</v>
      </c>
      <c r="D1561" s="12"/>
    </row>
    <row r="1562" spans="2:7" x14ac:dyDescent="0.25">
      <c r="B1562" s="20" t="s">
        <v>22</v>
      </c>
      <c r="C1562" s="21" t="s">
        <v>23</v>
      </c>
      <c r="D1562" s="21" t="s">
        <v>24</v>
      </c>
      <c r="E1562" s="21" t="s">
        <v>25</v>
      </c>
      <c r="F1562" s="22" t="s">
        <v>26</v>
      </c>
      <c r="G1562" s="23" t="s">
        <v>27</v>
      </c>
    </row>
    <row r="1563" spans="2:7" x14ac:dyDescent="0.25">
      <c r="B1563" s="29" t="s">
        <v>29</v>
      </c>
      <c r="C1563" s="30" t="s">
        <v>644</v>
      </c>
      <c r="D1563" s="31">
        <v>12</v>
      </c>
      <c r="E1563" s="41">
        <v>0</v>
      </c>
      <c r="F1563" s="41"/>
      <c r="G1563" s="120">
        <v>14</v>
      </c>
    </row>
    <row r="1564" spans="2:7" x14ac:dyDescent="0.25">
      <c r="B1564" s="42"/>
      <c r="C1564" s="30">
        <v>0.12</v>
      </c>
      <c r="D1564" s="41">
        <v>0</v>
      </c>
      <c r="E1564" s="41">
        <v>0</v>
      </c>
      <c r="F1564" s="41"/>
      <c r="G1564" s="135"/>
    </row>
    <row r="1565" spans="2:7" x14ac:dyDescent="0.25">
      <c r="B1565" s="42"/>
      <c r="C1565" s="30">
        <v>0.25</v>
      </c>
      <c r="D1565" s="31">
        <v>2</v>
      </c>
      <c r="E1565" s="41">
        <v>0</v>
      </c>
      <c r="F1565" s="41"/>
      <c r="G1565" s="135"/>
    </row>
    <row r="1566" spans="2:7" x14ac:dyDescent="0.25">
      <c r="B1566" s="42"/>
      <c r="C1566" s="30">
        <v>0.5</v>
      </c>
      <c r="D1566" s="41">
        <v>0</v>
      </c>
      <c r="E1566" s="41">
        <v>0</v>
      </c>
      <c r="F1566" s="41"/>
      <c r="G1566" s="135"/>
    </row>
    <row r="1567" spans="2:7" x14ac:dyDescent="0.25">
      <c r="B1567" s="42"/>
      <c r="C1567" s="30">
        <v>1</v>
      </c>
      <c r="D1567" s="41">
        <v>0</v>
      </c>
      <c r="E1567" s="41">
        <v>0</v>
      </c>
      <c r="F1567" s="41"/>
      <c r="G1567" s="135"/>
    </row>
    <row r="1568" spans="2:7" x14ac:dyDescent="0.25">
      <c r="B1568" s="47"/>
      <c r="C1568" s="48">
        <v>2</v>
      </c>
      <c r="D1568" s="59">
        <v>0</v>
      </c>
      <c r="E1568" s="59">
        <v>0</v>
      </c>
      <c r="F1568" s="59"/>
      <c r="G1568" s="121"/>
    </row>
    <row r="1569" spans="2:7" x14ac:dyDescent="0.25">
      <c r="B1569" s="60" t="s">
        <v>32</v>
      </c>
      <c r="C1569" s="48" t="s">
        <v>124</v>
      </c>
      <c r="D1569" s="59">
        <v>0</v>
      </c>
      <c r="E1569" s="59">
        <v>0</v>
      </c>
      <c r="F1569" s="59"/>
      <c r="G1569" s="118">
        <v>0</v>
      </c>
    </row>
    <row r="1570" spans="2:7" ht="15.75" thickBot="1" x14ac:dyDescent="0.3">
      <c r="B1570" s="70"/>
      <c r="C1570" s="71"/>
      <c r="D1570" s="173">
        <v>14</v>
      </c>
      <c r="E1570" s="173">
        <v>0</v>
      </c>
      <c r="F1570" s="173"/>
      <c r="G1570" s="138">
        <v>14</v>
      </c>
    </row>
    <row r="1571" spans="2:7" x14ac:dyDescent="0.25">
      <c r="C1571" s="78"/>
    </row>
    <row r="1572" spans="2:7" ht="19.5" thickBot="1" x14ac:dyDescent="0.35">
      <c r="B1572" s="9" t="s">
        <v>645</v>
      </c>
      <c r="C1572" s="204" t="s">
        <v>187</v>
      </c>
      <c r="D1572" s="12"/>
    </row>
    <row r="1573" spans="2:7" x14ac:dyDescent="0.25">
      <c r="B1573" s="20" t="s">
        <v>22</v>
      </c>
      <c r="C1573" s="21" t="s">
        <v>23</v>
      </c>
      <c r="D1573" s="21" t="s">
        <v>24</v>
      </c>
      <c r="E1573" s="21" t="s">
        <v>25</v>
      </c>
      <c r="F1573" s="22" t="s">
        <v>26</v>
      </c>
      <c r="G1573" s="23" t="s">
        <v>27</v>
      </c>
    </row>
    <row r="1574" spans="2:7" x14ac:dyDescent="0.25">
      <c r="B1574" s="29" t="s">
        <v>29</v>
      </c>
      <c r="C1574" s="30" t="s">
        <v>46</v>
      </c>
      <c r="D1574" s="545">
        <v>12</v>
      </c>
      <c r="E1574" s="41">
        <v>0</v>
      </c>
      <c r="F1574" s="41"/>
      <c r="G1574" s="120">
        <v>14</v>
      </c>
    </row>
    <row r="1575" spans="2:7" x14ac:dyDescent="0.25">
      <c r="B1575" s="42"/>
      <c r="C1575" s="30">
        <v>1</v>
      </c>
      <c r="D1575" s="546">
        <v>2</v>
      </c>
      <c r="E1575" s="38">
        <v>0</v>
      </c>
      <c r="F1575" s="41"/>
      <c r="G1575" s="135"/>
    </row>
    <row r="1576" spans="2:7" x14ac:dyDescent="0.25">
      <c r="B1576" s="47"/>
      <c r="C1576" s="48">
        <v>2</v>
      </c>
      <c r="D1576" s="56">
        <v>0</v>
      </c>
      <c r="E1576" s="56">
        <v>0</v>
      </c>
      <c r="F1576" s="59"/>
      <c r="G1576" s="121"/>
    </row>
    <row r="1577" spans="2:7" x14ac:dyDescent="0.25">
      <c r="B1577" s="29" t="s">
        <v>32</v>
      </c>
      <c r="C1577" s="30">
        <v>4</v>
      </c>
      <c r="D1577" s="38">
        <v>0</v>
      </c>
      <c r="E1577">
        <v>0</v>
      </c>
      <c r="F1577" s="41"/>
      <c r="G1577" s="120">
        <v>0</v>
      </c>
    </row>
    <row r="1578" spans="2:7" x14ac:dyDescent="0.25">
      <c r="B1578" s="47"/>
      <c r="C1578" s="48" t="s">
        <v>119</v>
      </c>
      <c r="D1578" s="56">
        <v>0</v>
      </c>
      <c r="E1578" s="64">
        <v>0</v>
      </c>
      <c r="F1578" s="59"/>
      <c r="G1578" s="121"/>
    </row>
    <row r="1579" spans="2:7" ht="15.75" thickBot="1" x14ac:dyDescent="0.3">
      <c r="B1579" s="70"/>
      <c r="C1579" s="71"/>
      <c r="D1579" s="174">
        <v>14</v>
      </c>
      <c r="E1579" s="547">
        <v>0</v>
      </c>
      <c r="F1579" s="173"/>
      <c r="G1579" s="138">
        <v>14</v>
      </c>
    </row>
    <row r="1580" spans="2:7" x14ac:dyDescent="0.25">
      <c r="C1580" s="78"/>
    </row>
    <row r="1581" spans="2:7" ht="19.5" thickBot="1" x14ac:dyDescent="0.35">
      <c r="B1581" s="9" t="s">
        <v>646</v>
      </c>
      <c r="C1581" s="462"/>
      <c r="D1581" s="12"/>
    </row>
    <row r="1582" spans="2:7" x14ac:dyDescent="0.25">
      <c r="B1582" s="20" t="s">
        <v>22</v>
      </c>
      <c r="C1582" s="21" t="s">
        <v>23</v>
      </c>
      <c r="D1582" s="21" t="s">
        <v>24</v>
      </c>
      <c r="E1582" s="21" t="s">
        <v>25</v>
      </c>
      <c r="F1582" s="22" t="s">
        <v>26</v>
      </c>
      <c r="G1582" s="23" t="s">
        <v>27</v>
      </c>
    </row>
    <row r="1583" spans="2:7" x14ac:dyDescent="0.25">
      <c r="B1583" s="29" t="s">
        <v>29</v>
      </c>
      <c r="C1583" s="30" t="s">
        <v>644</v>
      </c>
      <c r="D1583" s="31">
        <v>6</v>
      </c>
      <c r="E1583" s="41">
        <v>0</v>
      </c>
      <c r="F1583" s="41"/>
      <c r="G1583" s="109">
        <v>12</v>
      </c>
    </row>
    <row r="1584" spans="2:7" x14ac:dyDescent="0.25">
      <c r="B1584" s="42"/>
      <c r="C1584" s="30">
        <v>0.12</v>
      </c>
      <c r="D1584" s="31">
        <v>3</v>
      </c>
      <c r="E1584" s="41">
        <v>0</v>
      </c>
      <c r="F1584" s="41"/>
      <c r="G1584" s="172"/>
    </row>
    <row r="1585" spans="2:7" x14ac:dyDescent="0.25">
      <c r="B1585" s="42"/>
      <c r="C1585" s="30">
        <v>0.25</v>
      </c>
      <c r="D1585" s="31">
        <v>3</v>
      </c>
      <c r="E1585" s="41">
        <v>0</v>
      </c>
      <c r="F1585" s="41"/>
      <c r="G1585" s="172"/>
    </row>
    <row r="1586" spans="2:7" x14ac:dyDescent="0.25">
      <c r="B1586" s="47"/>
      <c r="C1586" s="48">
        <v>0.5</v>
      </c>
      <c r="D1586" s="59">
        <v>0</v>
      </c>
      <c r="E1586" s="59">
        <v>0</v>
      </c>
      <c r="F1586" s="59"/>
      <c r="G1586" s="115"/>
    </row>
    <row r="1587" spans="2:7" x14ac:dyDescent="0.25">
      <c r="B1587" s="60" t="s">
        <v>31</v>
      </c>
      <c r="C1587" s="48">
        <v>1</v>
      </c>
      <c r="D1587" s="59">
        <v>0</v>
      </c>
      <c r="E1587" s="59">
        <v>0</v>
      </c>
      <c r="F1587" s="59"/>
      <c r="G1587" s="118">
        <v>0</v>
      </c>
    </row>
    <row r="1588" spans="2:7" x14ac:dyDescent="0.25">
      <c r="B1588" s="29" t="s">
        <v>32</v>
      </c>
      <c r="C1588" s="30">
        <v>2</v>
      </c>
      <c r="D1588" s="41">
        <v>0</v>
      </c>
      <c r="E1588" s="41">
        <v>0</v>
      </c>
      <c r="F1588" s="41"/>
      <c r="G1588" s="120">
        <v>2</v>
      </c>
    </row>
    <row r="1589" spans="2:7" x14ac:dyDescent="0.25">
      <c r="B1589" s="47"/>
      <c r="C1589" s="48" t="s">
        <v>124</v>
      </c>
      <c r="D1589" s="132">
        <v>2</v>
      </c>
      <c r="E1589" s="59">
        <v>0</v>
      </c>
      <c r="F1589" s="59"/>
      <c r="G1589" s="121"/>
    </row>
    <row r="1590" spans="2:7" ht="15.75" thickBot="1" x14ac:dyDescent="0.3">
      <c r="B1590" s="70"/>
      <c r="C1590" s="71"/>
      <c r="D1590" s="173">
        <v>14</v>
      </c>
      <c r="E1590" s="173">
        <v>0</v>
      </c>
      <c r="F1590" s="173"/>
      <c r="G1590" s="138">
        <v>14</v>
      </c>
    </row>
    <row r="1591" spans="2:7" x14ac:dyDescent="0.25">
      <c r="C1591" s="78"/>
    </row>
    <row r="1592" spans="2:7" ht="19.5" thickBot="1" x14ac:dyDescent="0.35">
      <c r="B1592" s="9" t="s">
        <v>44</v>
      </c>
      <c r="C1592" s="462"/>
      <c r="D1592" s="12"/>
    </row>
    <row r="1593" spans="2:7" x14ac:dyDescent="0.25">
      <c r="B1593" s="20" t="s">
        <v>22</v>
      </c>
      <c r="C1593" s="21" t="s">
        <v>23</v>
      </c>
      <c r="D1593" s="21" t="s">
        <v>24</v>
      </c>
      <c r="E1593" s="21" t="s">
        <v>25</v>
      </c>
      <c r="F1593" s="22" t="s">
        <v>26</v>
      </c>
      <c r="G1593" s="23" t="s">
        <v>27</v>
      </c>
    </row>
    <row r="1594" spans="2:7" x14ac:dyDescent="0.25">
      <c r="B1594" s="29" t="s">
        <v>29</v>
      </c>
      <c r="C1594" s="30" t="s">
        <v>30</v>
      </c>
      <c r="D1594" s="41">
        <v>0</v>
      </c>
      <c r="E1594" s="41">
        <v>0</v>
      </c>
      <c r="F1594" s="41"/>
      <c r="G1594" s="120">
        <v>14</v>
      </c>
    </row>
    <row r="1595" spans="2:7" x14ac:dyDescent="0.25">
      <c r="B1595" s="42"/>
      <c r="C1595" s="30">
        <v>0.5</v>
      </c>
      <c r="D1595" s="31">
        <v>8</v>
      </c>
      <c r="E1595" s="41">
        <v>0</v>
      </c>
      <c r="F1595" s="41"/>
      <c r="G1595" s="135"/>
    </row>
    <row r="1596" spans="2:7" x14ac:dyDescent="0.25">
      <c r="B1596" s="42"/>
      <c r="C1596" s="30">
        <v>1</v>
      </c>
      <c r="D1596" s="31">
        <v>6</v>
      </c>
      <c r="E1596" s="41">
        <v>0</v>
      </c>
      <c r="F1596" s="41"/>
      <c r="G1596" s="135"/>
    </row>
    <row r="1597" spans="2:7" x14ac:dyDescent="0.25">
      <c r="B1597" s="47"/>
      <c r="C1597" s="48">
        <v>2</v>
      </c>
      <c r="D1597" s="59">
        <v>0</v>
      </c>
      <c r="E1597" s="59">
        <v>0</v>
      </c>
      <c r="F1597" s="59"/>
      <c r="G1597" s="121"/>
    </row>
    <row r="1598" spans="2:7" x14ac:dyDescent="0.25">
      <c r="B1598" s="29" t="s">
        <v>32</v>
      </c>
      <c r="C1598" s="30">
        <v>4</v>
      </c>
      <c r="D1598" s="41">
        <v>0</v>
      </c>
      <c r="E1598" s="41">
        <v>0</v>
      </c>
      <c r="F1598" s="41"/>
      <c r="G1598" s="120">
        <v>0</v>
      </c>
    </row>
    <row r="1599" spans="2:7" x14ac:dyDescent="0.25">
      <c r="B1599" s="47"/>
      <c r="C1599" s="48" t="s">
        <v>119</v>
      </c>
      <c r="D1599" s="59">
        <v>0</v>
      </c>
      <c r="E1599" s="59">
        <v>0</v>
      </c>
      <c r="F1599" s="59"/>
      <c r="G1599" s="121"/>
    </row>
    <row r="1600" spans="2:7" ht="15.75" thickBot="1" x14ac:dyDescent="0.3">
      <c r="B1600" s="70"/>
      <c r="C1600" s="71"/>
      <c r="D1600" s="173">
        <v>14</v>
      </c>
      <c r="E1600" s="173">
        <v>0</v>
      </c>
      <c r="F1600" s="173"/>
      <c r="G1600" s="138">
        <v>14</v>
      </c>
    </row>
    <row r="1601" spans="2:6" x14ac:dyDescent="0.25">
      <c r="C1601" s="78"/>
    </row>
    <row r="1602" spans="2:6" x14ac:dyDescent="0.25">
      <c r="C1602" s="78"/>
    </row>
    <row r="1603" spans="2:6" ht="18.75" x14ac:dyDescent="0.3">
      <c r="B1603" s="9" t="s">
        <v>647</v>
      </c>
      <c r="E1603" s="12"/>
    </row>
    <row r="1604" spans="2:6" x14ac:dyDescent="0.25">
      <c r="B1604" s="25"/>
      <c r="C1604" s="26" t="s">
        <v>24</v>
      </c>
      <c r="D1604" s="27" t="s">
        <v>25</v>
      </c>
      <c r="E1604" s="27" t="s">
        <v>27</v>
      </c>
      <c r="F1604" s="28" t="s">
        <v>28</v>
      </c>
    </row>
    <row r="1605" spans="2:6" x14ac:dyDescent="0.25">
      <c r="B1605" s="38" t="s">
        <v>109</v>
      </c>
      <c r="C1605" s="39">
        <v>133</v>
      </c>
      <c r="D1605" s="40">
        <v>0</v>
      </c>
      <c r="E1605" s="32">
        <f>SUM(C1605,D1605)</f>
        <v>133</v>
      </c>
      <c r="F1605" s="41">
        <f>E1605/E1607*100</f>
        <v>95</v>
      </c>
    </row>
    <row r="1606" spans="2:6" x14ac:dyDescent="0.25">
      <c r="B1606" s="56" t="s">
        <v>110</v>
      </c>
      <c r="C1606" s="57">
        <v>2</v>
      </c>
      <c r="D1606" s="58">
        <v>5</v>
      </c>
      <c r="E1606" s="50">
        <f>SUM(C1606,D1606)</f>
        <v>7</v>
      </c>
      <c r="F1606" s="59">
        <f>E1606/E1607*100</f>
        <v>5</v>
      </c>
    </row>
    <row r="1607" spans="2:6" x14ac:dyDescent="0.25">
      <c r="B1607" s="56" t="s">
        <v>27</v>
      </c>
      <c r="C1607" s="64">
        <f>SUM(C1605,C1606)</f>
        <v>135</v>
      </c>
      <c r="D1607" s="50">
        <f>SUM(D1605,D1606)</f>
        <v>5</v>
      </c>
      <c r="E1607" s="50">
        <f>SUM(C1605:D1606)</f>
        <v>140</v>
      </c>
      <c r="F1607" s="59"/>
    </row>
    <row r="1608" spans="2:6" x14ac:dyDescent="0.25">
      <c r="B1608" s="56" t="s">
        <v>28</v>
      </c>
      <c r="C1608" s="64">
        <f>C1607/E1607*100</f>
        <v>96.428571428571431</v>
      </c>
      <c r="D1608" s="59">
        <f>D1607/E1607*100</f>
        <v>3.5714285714285712</v>
      </c>
      <c r="E1608" s="59"/>
      <c r="F1608" s="59"/>
    </row>
    <row r="1611" spans="2:6" ht="18.75" x14ac:dyDescent="0.3">
      <c r="B1611" s="9" t="s">
        <v>111</v>
      </c>
      <c r="F1611" s="12"/>
    </row>
    <row r="1612" spans="2:6" x14ac:dyDescent="0.25">
      <c r="B1612" s="180" t="s">
        <v>112</v>
      </c>
    </row>
    <row r="1613" spans="2:6" x14ac:dyDescent="0.25">
      <c r="B1613" s="78"/>
    </row>
    <row r="1614" spans="2:6" x14ac:dyDescent="0.25">
      <c r="B1614" s="181" t="s">
        <v>648</v>
      </c>
      <c r="C1614" s="1" t="s">
        <v>116</v>
      </c>
      <c r="E1614" s="12"/>
    </row>
    <row r="1615" spans="2:6" x14ac:dyDescent="0.25">
      <c r="B1615" s="25" t="s">
        <v>22</v>
      </c>
      <c r="C1615" s="483" t="s">
        <v>23</v>
      </c>
      <c r="D1615" s="25" t="s">
        <v>117</v>
      </c>
    </row>
    <row r="1616" spans="2:6" x14ac:dyDescent="0.25">
      <c r="B1616" s="25" t="s">
        <v>29</v>
      </c>
      <c r="C1616" s="186" t="s">
        <v>232</v>
      </c>
      <c r="D1616" s="56">
        <v>11</v>
      </c>
    </row>
    <row r="1617" spans="2:6" x14ac:dyDescent="0.25">
      <c r="B1617" s="189" t="s">
        <v>32</v>
      </c>
      <c r="C1617" s="208">
        <v>2</v>
      </c>
      <c r="D1617" s="195">
        <v>2</v>
      </c>
    </row>
    <row r="1618" spans="2:6" x14ac:dyDescent="0.25">
      <c r="B1618" s="190"/>
      <c r="C1618" s="186" t="s">
        <v>124</v>
      </c>
      <c r="D1618" s="192">
        <v>1</v>
      </c>
    </row>
    <row r="1619" spans="2:6" x14ac:dyDescent="0.25">
      <c r="B1619" s="78"/>
    </row>
    <row r="1620" spans="2:6" x14ac:dyDescent="0.25">
      <c r="B1620" s="181" t="s">
        <v>224</v>
      </c>
      <c r="C1620" s="1" t="s">
        <v>116</v>
      </c>
      <c r="E1620" s="12"/>
    </row>
    <row r="1621" spans="2:6" x14ac:dyDescent="0.25">
      <c r="B1621" s="25" t="s">
        <v>22</v>
      </c>
      <c r="C1621" s="483" t="s">
        <v>23</v>
      </c>
      <c r="D1621" s="25" t="s">
        <v>117</v>
      </c>
    </row>
    <row r="1622" spans="2:6" x14ac:dyDescent="0.25">
      <c r="B1622" s="189" t="s">
        <v>638</v>
      </c>
      <c r="C1622" s="208" t="s">
        <v>118</v>
      </c>
      <c r="D1622" s="38">
        <v>3</v>
      </c>
    </row>
    <row r="1623" spans="2:6" x14ac:dyDescent="0.25">
      <c r="B1623" s="190"/>
      <c r="C1623" s="186">
        <v>1</v>
      </c>
      <c r="D1623" s="56">
        <v>9</v>
      </c>
    </row>
    <row r="1624" spans="2:6" x14ac:dyDescent="0.25">
      <c r="B1624" s="25" t="s">
        <v>649</v>
      </c>
      <c r="C1624" s="483">
        <v>2</v>
      </c>
      <c r="D1624" s="548">
        <v>2</v>
      </c>
    </row>
    <row r="1625" spans="2:6" x14ac:dyDescent="0.25">
      <c r="B1625" s="191" t="s">
        <v>639</v>
      </c>
      <c r="C1625" s="208">
        <v>4</v>
      </c>
      <c r="D1625" s="38">
        <v>0</v>
      </c>
    </row>
    <row r="1626" spans="2:6" x14ac:dyDescent="0.25">
      <c r="B1626" s="191"/>
      <c r="C1626" s="208">
        <v>8</v>
      </c>
      <c r="D1626" s="38">
        <v>0</v>
      </c>
      <c r="F1626" s="78"/>
    </row>
    <row r="1627" spans="2:6" x14ac:dyDescent="0.25">
      <c r="B1627" s="190"/>
      <c r="C1627" s="186" t="s">
        <v>61</v>
      </c>
      <c r="D1627" s="56">
        <v>0</v>
      </c>
      <c r="F1627" s="78"/>
    </row>
    <row r="1628" spans="2:6" x14ac:dyDescent="0.25">
      <c r="B1628" s="78"/>
      <c r="E1628" s="78"/>
      <c r="F1628" s="78"/>
    </row>
    <row r="1629" spans="2:6" x14ac:dyDescent="0.25">
      <c r="B1629" s="181" t="s">
        <v>120</v>
      </c>
      <c r="C1629" s="1" t="s">
        <v>650</v>
      </c>
      <c r="E1629" s="12"/>
      <c r="F1629" s="78"/>
    </row>
    <row r="1630" spans="2:6" x14ac:dyDescent="0.25">
      <c r="B1630" s="25" t="s">
        <v>22</v>
      </c>
      <c r="C1630" s="483" t="s">
        <v>23</v>
      </c>
      <c r="D1630" s="25" t="s">
        <v>117</v>
      </c>
      <c r="E1630" s="78"/>
      <c r="F1630" s="78"/>
    </row>
    <row r="1631" spans="2:6" x14ac:dyDescent="0.25">
      <c r="B1631" s="189" t="s">
        <v>29</v>
      </c>
      <c r="C1631" s="208" t="s">
        <v>142</v>
      </c>
      <c r="D1631" s="38">
        <v>14</v>
      </c>
    </row>
    <row r="1632" spans="2:6" x14ac:dyDescent="0.25">
      <c r="B1632" s="190"/>
      <c r="C1632" s="186">
        <v>0.06</v>
      </c>
      <c r="D1632" s="56">
        <v>0</v>
      </c>
    </row>
    <row r="1633" spans="2:6" x14ac:dyDescent="0.25">
      <c r="B1633" s="189" t="s">
        <v>32</v>
      </c>
      <c r="C1633" s="208">
        <v>0.12</v>
      </c>
      <c r="D1633" s="38">
        <v>0</v>
      </c>
    </row>
    <row r="1634" spans="2:6" x14ac:dyDescent="0.25">
      <c r="B1634" s="191"/>
      <c r="C1634" s="208">
        <v>0.25</v>
      </c>
      <c r="D1634" s="38">
        <v>0</v>
      </c>
    </row>
    <row r="1635" spans="2:6" x14ac:dyDescent="0.25">
      <c r="B1635" s="191"/>
      <c r="C1635" s="208">
        <v>0.5</v>
      </c>
      <c r="D1635" s="38">
        <v>0</v>
      </c>
    </row>
    <row r="1636" spans="2:6" x14ac:dyDescent="0.25">
      <c r="B1636" s="191"/>
      <c r="C1636" s="208">
        <v>1</v>
      </c>
      <c r="D1636" s="38">
        <v>0</v>
      </c>
    </row>
    <row r="1637" spans="2:6" x14ac:dyDescent="0.25">
      <c r="B1637" s="191"/>
      <c r="C1637" s="208">
        <v>2</v>
      </c>
      <c r="D1637" s="38">
        <v>0</v>
      </c>
    </row>
    <row r="1638" spans="2:6" x14ac:dyDescent="0.25">
      <c r="B1638" s="191"/>
      <c r="C1638" s="208">
        <v>4</v>
      </c>
      <c r="D1638" s="38">
        <v>0</v>
      </c>
    </row>
    <row r="1639" spans="2:6" x14ac:dyDescent="0.25">
      <c r="B1639" s="190"/>
      <c r="C1639" s="186" t="s">
        <v>119</v>
      </c>
      <c r="D1639" s="56">
        <v>0</v>
      </c>
    </row>
    <row r="1640" spans="2:6" x14ac:dyDescent="0.25">
      <c r="B1640" s="78"/>
      <c r="E1640" s="78"/>
    </row>
    <row r="1641" spans="2:6" x14ac:dyDescent="0.25">
      <c r="B1641" s="78"/>
      <c r="E1641" s="78"/>
    </row>
    <row r="1642" spans="2:6" ht="18.75" x14ac:dyDescent="0.3">
      <c r="B1642" s="214" t="s">
        <v>131</v>
      </c>
      <c r="E1642" s="12"/>
    </row>
    <row r="1643" spans="2:6" x14ac:dyDescent="0.25">
      <c r="B1643" s="78" t="s">
        <v>344</v>
      </c>
      <c r="E1643" s="78"/>
    </row>
    <row r="1644" spans="2:6" x14ac:dyDescent="0.25">
      <c r="B1644" s="78"/>
      <c r="E1644" s="78"/>
    </row>
    <row r="1645" spans="2:6" x14ac:dyDescent="0.25">
      <c r="B1645" s="215" t="s">
        <v>651</v>
      </c>
      <c r="C1645" s="216" t="s">
        <v>266</v>
      </c>
      <c r="D1645" s="5"/>
      <c r="E1645" s="231"/>
      <c r="F1645" s="1"/>
    </row>
    <row r="1646" spans="2:6" x14ac:dyDescent="0.25">
      <c r="B1646" s="447" t="s">
        <v>23</v>
      </c>
      <c r="C1646" s="448" t="s">
        <v>117</v>
      </c>
      <c r="D1646" s="449" t="s">
        <v>26</v>
      </c>
      <c r="E1646" s="231"/>
    </row>
    <row r="1647" spans="2:6" x14ac:dyDescent="0.25">
      <c r="B1647" s="220" t="s">
        <v>138</v>
      </c>
      <c r="C1647" s="5">
        <v>10</v>
      </c>
      <c r="D1647" s="151"/>
    </row>
    <row r="1648" spans="2:6" x14ac:dyDescent="0.25">
      <c r="B1648" s="237">
        <v>8</v>
      </c>
      <c r="C1648" s="212">
        <v>2</v>
      </c>
      <c r="D1648" s="151"/>
    </row>
    <row r="1649" spans="2:6" x14ac:dyDescent="0.25">
      <c r="B1649" s="220">
        <v>16</v>
      </c>
      <c r="C1649" s="5">
        <v>2</v>
      </c>
      <c r="D1649" s="151"/>
    </row>
    <row r="1650" spans="2:6" x14ac:dyDescent="0.25">
      <c r="B1650" s="221" t="s">
        <v>139</v>
      </c>
      <c r="C1650" s="222">
        <v>0</v>
      </c>
      <c r="D1650" s="162"/>
    </row>
    <row r="1651" spans="2:6" x14ac:dyDescent="0.25">
      <c r="B1651" s="78"/>
      <c r="E1651" s="78"/>
    </row>
    <row r="1652" spans="2:6" x14ac:dyDescent="0.25">
      <c r="B1652" s="215" t="s">
        <v>310</v>
      </c>
      <c r="C1652" s="216" t="s">
        <v>130</v>
      </c>
      <c r="D1652" s="5"/>
      <c r="E1652" s="78"/>
    </row>
    <row r="1653" spans="2:6" x14ac:dyDescent="0.25">
      <c r="B1653" s="447" t="s">
        <v>23</v>
      </c>
      <c r="C1653" s="448" t="s">
        <v>117</v>
      </c>
      <c r="D1653" s="449" t="s">
        <v>26</v>
      </c>
      <c r="E1653" s="78"/>
      <c r="F1653" s="231"/>
    </row>
    <row r="1654" spans="2:6" x14ac:dyDescent="0.25">
      <c r="B1654" s="218" t="s">
        <v>178</v>
      </c>
      <c r="C1654" s="384">
        <v>0</v>
      </c>
      <c r="D1654" s="145"/>
      <c r="E1654" s="78"/>
    </row>
    <row r="1655" spans="2:6" x14ac:dyDescent="0.25">
      <c r="B1655" s="220">
        <v>0.03</v>
      </c>
      <c r="C1655" s="5">
        <v>0</v>
      </c>
      <c r="D1655" s="151"/>
      <c r="E1655" s="78"/>
    </row>
    <row r="1656" spans="2:6" x14ac:dyDescent="0.25">
      <c r="B1656" s="220">
        <v>0.06</v>
      </c>
      <c r="C1656" s="5">
        <v>0</v>
      </c>
      <c r="D1656" s="151"/>
      <c r="E1656" s="78"/>
    </row>
    <row r="1657" spans="2:6" x14ac:dyDescent="0.25">
      <c r="B1657" s="220">
        <v>0.12</v>
      </c>
      <c r="C1657" s="5">
        <v>1</v>
      </c>
      <c r="D1657" s="151"/>
      <c r="E1657" s="78"/>
    </row>
    <row r="1658" spans="2:6" x14ac:dyDescent="0.25">
      <c r="B1658" s="220">
        <v>0.25</v>
      </c>
      <c r="C1658" s="5">
        <v>3</v>
      </c>
      <c r="D1658" s="151"/>
      <c r="E1658" s="78"/>
    </row>
    <row r="1659" spans="2:6" x14ac:dyDescent="0.25">
      <c r="B1659" s="220">
        <v>0.5</v>
      </c>
      <c r="C1659" s="5">
        <v>3</v>
      </c>
      <c r="D1659" s="151"/>
      <c r="E1659" s="78"/>
    </row>
    <row r="1660" spans="2:6" x14ac:dyDescent="0.25">
      <c r="B1660" s="220">
        <v>1</v>
      </c>
      <c r="C1660" s="5">
        <v>0</v>
      </c>
      <c r="D1660" s="151"/>
      <c r="E1660" s="78"/>
    </row>
    <row r="1661" spans="2:6" x14ac:dyDescent="0.25">
      <c r="B1661" s="221" t="s">
        <v>104</v>
      </c>
      <c r="C1661" s="222">
        <v>7</v>
      </c>
      <c r="D1661" s="162" t="s">
        <v>636</v>
      </c>
      <c r="E1661" s="78"/>
    </row>
    <row r="1662" spans="2:6" x14ac:dyDescent="0.25">
      <c r="B1662" s="78"/>
      <c r="E1662" s="78"/>
    </row>
    <row r="1663" spans="2:6" x14ac:dyDescent="0.25">
      <c r="B1663" s="215" t="s">
        <v>265</v>
      </c>
      <c r="C1663" s="216" t="s">
        <v>652</v>
      </c>
      <c r="D1663" s="5"/>
      <c r="E1663" s="78"/>
    </row>
    <row r="1664" spans="2:6" x14ac:dyDescent="0.25">
      <c r="B1664" s="447" t="s">
        <v>23</v>
      </c>
      <c r="C1664" s="472" t="s">
        <v>117</v>
      </c>
      <c r="D1664" s="449" t="s">
        <v>26</v>
      </c>
      <c r="E1664" s="78"/>
    </row>
    <row r="1665" spans="2:5" x14ac:dyDescent="0.25">
      <c r="B1665" s="220" t="s">
        <v>123</v>
      </c>
      <c r="C1665" s="5">
        <v>0</v>
      </c>
      <c r="D1665" s="151"/>
      <c r="E1665" s="78"/>
    </row>
    <row r="1666" spans="2:5" x14ac:dyDescent="0.25">
      <c r="B1666" s="220">
        <v>0.5</v>
      </c>
      <c r="C1666" s="5">
        <v>0</v>
      </c>
      <c r="D1666" s="151"/>
      <c r="E1666" s="78"/>
    </row>
    <row r="1667" spans="2:5" x14ac:dyDescent="0.25">
      <c r="B1667" s="221" t="s">
        <v>653</v>
      </c>
      <c r="C1667" s="222">
        <v>14</v>
      </c>
      <c r="D1667" s="162"/>
      <c r="E1667" s="78"/>
    </row>
    <row r="1668" spans="2:5" x14ac:dyDescent="0.25">
      <c r="B1668" s="230"/>
      <c r="C1668" s="5"/>
      <c r="D1668" s="5"/>
      <c r="E1668" s="78"/>
    </row>
    <row r="1669" spans="2:5" x14ac:dyDescent="0.25">
      <c r="B1669" s="215" t="s">
        <v>654</v>
      </c>
      <c r="C1669" s="216" t="s">
        <v>655</v>
      </c>
      <c r="D1669" s="230"/>
      <c r="E1669" s="78"/>
    </row>
    <row r="1670" spans="2:5" x14ac:dyDescent="0.25">
      <c r="B1670" s="447" t="s">
        <v>23</v>
      </c>
      <c r="C1670" s="448" t="s">
        <v>117</v>
      </c>
      <c r="D1670" s="449" t="s">
        <v>26</v>
      </c>
      <c r="E1670" s="78"/>
    </row>
    <row r="1671" spans="2:5" x14ac:dyDescent="0.25">
      <c r="B1671" s="220" t="s">
        <v>201</v>
      </c>
      <c r="C1671" s="5">
        <v>0</v>
      </c>
      <c r="D1671" s="149"/>
      <c r="E1671" s="78"/>
    </row>
    <row r="1672" spans="2:5" x14ac:dyDescent="0.25">
      <c r="B1672" s="220">
        <v>0.25</v>
      </c>
      <c r="C1672" s="5">
        <v>0</v>
      </c>
      <c r="D1672" s="149"/>
      <c r="E1672" s="78"/>
    </row>
    <row r="1673" spans="2:5" x14ac:dyDescent="0.25">
      <c r="B1673" s="220">
        <v>0.5</v>
      </c>
      <c r="C1673" s="5">
        <v>0</v>
      </c>
      <c r="D1673" s="149"/>
      <c r="E1673" s="78"/>
    </row>
    <row r="1674" spans="2:5" x14ac:dyDescent="0.25">
      <c r="B1674" s="220">
        <v>1</v>
      </c>
      <c r="C1674" s="5">
        <v>0</v>
      </c>
      <c r="D1674" s="149"/>
      <c r="E1674" s="78"/>
    </row>
    <row r="1675" spans="2:5" x14ac:dyDescent="0.25">
      <c r="B1675" s="220">
        <v>2</v>
      </c>
      <c r="C1675" s="5">
        <v>0</v>
      </c>
      <c r="D1675" s="149"/>
      <c r="E1675" s="78"/>
    </row>
    <row r="1676" spans="2:5" x14ac:dyDescent="0.25">
      <c r="B1676" s="220">
        <v>4</v>
      </c>
      <c r="C1676" s="5">
        <v>5</v>
      </c>
      <c r="D1676" s="149"/>
      <c r="E1676" s="78"/>
    </row>
    <row r="1677" spans="2:5" x14ac:dyDescent="0.25">
      <c r="B1677" s="220">
        <v>8</v>
      </c>
      <c r="C1677" s="5">
        <v>8</v>
      </c>
      <c r="D1677" s="149"/>
      <c r="E1677" s="78"/>
    </row>
    <row r="1678" spans="2:5" x14ac:dyDescent="0.25">
      <c r="B1678" s="220">
        <v>16</v>
      </c>
      <c r="C1678" s="5">
        <v>1</v>
      </c>
      <c r="D1678" s="149"/>
      <c r="E1678" s="78"/>
    </row>
    <row r="1679" spans="2:5" x14ac:dyDescent="0.25">
      <c r="B1679" s="221" t="s">
        <v>139</v>
      </c>
      <c r="C1679" s="222">
        <v>0</v>
      </c>
      <c r="D1679" s="162"/>
      <c r="E1679" s="78"/>
    </row>
    <row r="1680" spans="2:5" x14ac:dyDescent="0.25">
      <c r="B1680" s="230"/>
      <c r="C1680" s="5"/>
      <c r="D1680" s="5"/>
      <c r="E1680" s="78"/>
    </row>
    <row r="1681" spans="2:6" x14ac:dyDescent="0.25">
      <c r="B1681" s="215" t="s">
        <v>656</v>
      </c>
      <c r="C1681" s="216" t="s">
        <v>657</v>
      </c>
      <c r="D1681" s="5"/>
      <c r="E1681" s="12"/>
      <c r="F1681" s="231"/>
    </row>
    <row r="1682" spans="2:6" x14ac:dyDescent="0.25">
      <c r="B1682" s="447" t="s">
        <v>23</v>
      </c>
      <c r="C1682" s="472" t="s">
        <v>117</v>
      </c>
      <c r="D1682" s="449" t="s">
        <v>26</v>
      </c>
      <c r="E1682" s="78"/>
    </row>
    <row r="1683" spans="2:6" x14ac:dyDescent="0.25">
      <c r="B1683" s="220" t="s">
        <v>142</v>
      </c>
      <c r="C1683" s="212">
        <v>14</v>
      </c>
      <c r="D1683" s="149"/>
    </row>
    <row r="1684" spans="2:6" x14ac:dyDescent="0.25">
      <c r="B1684" s="220">
        <v>0.06</v>
      </c>
      <c r="C1684" s="5">
        <v>0</v>
      </c>
      <c r="D1684" s="149"/>
    </row>
    <row r="1685" spans="2:6" x14ac:dyDescent="0.25">
      <c r="B1685" s="220">
        <v>0.12</v>
      </c>
      <c r="C1685" s="212">
        <v>0</v>
      </c>
      <c r="D1685" s="149"/>
    </row>
    <row r="1686" spans="2:6" x14ac:dyDescent="0.25">
      <c r="B1686" s="220">
        <v>0.25</v>
      </c>
      <c r="C1686" s="212">
        <v>0</v>
      </c>
      <c r="D1686" s="149"/>
    </row>
    <row r="1687" spans="2:6" x14ac:dyDescent="0.25">
      <c r="B1687" s="220">
        <v>0.5</v>
      </c>
      <c r="C1687" s="212">
        <v>0</v>
      </c>
      <c r="D1687" s="149"/>
    </row>
    <row r="1688" spans="2:6" x14ac:dyDescent="0.25">
      <c r="B1688" s="220">
        <v>1</v>
      </c>
      <c r="C1688" s="212">
        <v>0</v>
      </c>
      <c r="D1688" s="151"/>
    </row>
    <row r="1689" spans="2:6" x14ac:dyDescent="0.25">
      <c r="B1689" s="221" t="s">
        <v>104</v>
      </c>
      <c r="C1689" s="213">
        <v>0</v>
      </c>
      <c r="D1689" s="162"/>
    </row>
    <row r="1690" spans="2:6" x14ac:dyDescent="0.25">
      <c r="B1690" s="78"/>
    </row>
    <row r="1691" spans="2:6" x14ac:dyDescent="0.25">
      <c r="B1691" s="215" t="s">
        <v>658</v>
      </c>
      <c r="C1691" s="216" t="s">
        <v>130</v>
      </c>
      <c r="D1691" s="5"/>
      <c r="E1691" s="78"/>
    </row>
    <row r="1692" spans="2:6" x14ac:dyDescent="0.25">
      <c r="B1692" s="447" t="s">
        <v>23</v>
      </c>
      <c r="C1692" s="448" t="s">
        <v>117</v>
      </c>
      <c r="D1692" s="449" t="s">
        <v>26</v>
      </c>
      <c r="E1692" s="78"/>
    </row>
    <row r="1693" spans="2:6" x14ac:dyDescent="0.25">
      <c r="B1693" s="220" t="s">
        <v>201</v>
      </c>
      <c r="C1693" s="5">
        <v>0</v>
      </c>
      <c r="D1693" s="151"/>
      <c r="E1693" s="78"/>
    </row>
    <row r="1694" spans="2:6" x14ac:dyDescent="0.25">
      <c r="B1694" s="220">
        <v>0.25</v>
      </c>
      <c r="C1694" s="5">
        <v>0</v>
      </c>
      <c r="D1694" s="151"/>
      <c r="E1694" s="78"/>
    </row>
    <row r="1695" spans="2:6" x14ac:dyDescent="0.25">
      <c r="B1695" s="220">
        <v>0.5</v>
      </c>
      <c r="C1695" s="5">
        <v>14</v>
      </c>
      <c r="D1695" s="151"/>
      <c r="E1695" s="78"/>
    </row>
    <row r="1696" spans="2:6" x14ac:dyDescent="0.25">
      <c r="B1696" s="220">
        <v>1</v>
      </c>
      <c r="C1696" s="5">
        <v>0</v>
      </c>
      <c r="D1696" s="151"/>
      <c r="E1696" s="78"/>
    </row>
    <row r="1697" spans="2:7" x14ac:dyDescent="0.25">
      <c r="B1697" s="220">
        <v>2</v>
      </c>
      <c r="C1697" s="5">
        <v>0</v>
      </c>
      <c r="D1697" s="151"/>
      <c r="E1697" s="78"/>
    </row>
    <row r="1698" spans="2:7" x14ac:dyDescent="0.25">
      <c r="B1698" s="220">
        <v>4</v>
      </c>
      <c r="C1698" s="5">
        <v>0</v>
      </c>
      <c r="D1698" s="151"/>
      <c r="E1698" s="78"/>
    </row>
    <row r="1699" spans="2:7" x14ac:dyDescent="0.25">
      <c r="B1699" s="220">
        <v>8</v>
      </c>
      <c r="C1699" s="5">
        <v>0</v>
      </c>
      <c r="D1699" s="151"/>
      <c r="E1699" s="78"/>
    </row>
    <row r="1700" spans="2:7" x14ac:dyDescent="0.25">
      <c r="B1700" s="220">
        <v>16</v>
      </c>
      <c r="C1700" s="5">
        <v>0</v>
      </c>
      <c r="D1700" s="151"/>
      <c r="E1700" s="78"/>
    </row>
    <row r="1701" spans="2:7" x14ac:dyDescent="0.25">
      <c r="B1701" s="220">
        <v>32</v>
      </c>
      <c r="C1701" s="5">
        <v>0</v>
      </c>
      <c r="D1701" s="151"/>
      <c r="E1701" s="78"/>
    </row>
    <row r="1702" spans="2:7" x14ac:dyDescent="0.25">
      <c r="B1702" s="220">
        <v>64</v>
      </c>
      <c r="C1702" s="5">
        <v>0</v>
      </c>
      <c r="D1702" s="151"/>
      <c r="E1702" s="78"/>
    </row>
    <row r="1703" spans="2:7" x14ac:dyDescent="0.25">
      <c r="B1703" s="220">
        <v>128</v>
      </c>
      <c r="C1703" s="5">
        <v>0</v>
      </c>
      <c r="D1703" s="151"/>
      <c r="E1703" s="78"/>
    </row>
    <row r="1704" spans="2:7" x14ac:dyDescent="0.25">
      <c r="B1704" s="221" t="s">
        <v>659</v>
      </c>
      <c r="C1704" s="222">
        <v>0</v>
      </c>
      <c r="D1704" s="162"/>
      <c r="E1704" s="78"/>
    </row>
    <row r="1705" spans="2:7" x14ac:dyDescent="0.25">
      <c r="B1705" s="78"/>
      <c r="E1705" s="78"/>
    </row>
    <row r="1706" spans="2:7" x14ac:dyDescent="0.25">
      <c r="B1706" s="78"/>
      <c r="E1706" s="549"/>
    </row>
    <row r="1708" spans="2:7" s="7" customFormat="1" ht="18.75" x14ac:dyDescent="0.3">
      <c r="B1708" s="8" t="s">
        <v>660</v>
      </c>
    </row>
    <row r="1710" spans="2:7" ht="19.5" thickBot="1" x14ac:dyDescent="0.35">
      <c r="B1710" s="9" t="s">
        <v>198</v>
      </c>
      <c r="C1710" s="550"/>
      <c r="D1710" s="12"/>
    </row>
    <row r="1711" spans="2:7" x14ac:dyDescent="0.25">
      <c r="B1711" s="20" t="s">
        <v>22</v>
      </c>
      <c r="C1711" s="21" t="s">
        <v>23</v>
      </c>
      <c r="D1711" s="21" t="s">
        <v>24</v>
      </c>
      <c r="E1711" s="21" t="s">
        <v>25</v>
      </c>
      <c r="F1711" s="22" t="s">
        <v>26</v>
      </c>
      <c r="G1711" s="23" t="s">
        <v>27</v>
      </c>
    </row>
    <row r="1712" spans="2:7" x14ac:dyDescent="0.25">
      <c r="B1712" s="29" t="s">
        <v>29</v>
      </c>
      <c r="C1712" s="264" t="s">
        <v>201</v>
      </c>
      <c r="D1712" s="31">
        <v>3</v>
      </c>
      <c r="E1712" s="41">
        <v>0</v>
      </c>
      <c r="F1712" s="41"/>
      <c r="G1712" s="109">
        <v>10</v>
      </c>
    </row>
    <row r="1713" spans="2:7" x14ac:dyDescent="0.25">
      <c r="B1713" s="42"/>
      <c r="C1713" s="30">
        <v>0.25</v>
      </c>
      <c r="D1713" s="31">
        <v>1</v>
      </c>
      <c r="E1713" s="41">
        <v>0</v>
      </c>
      <c r="F1713" s="41"/>
      <c r="G1713" s="172"/>
    </row>
    <row r="1714" spans="2:7" x14ac:dyDescent="0.25">
      <c r="B1714" s="42"/>
      <c r="C1714" s="30">
        <v>0.5</v>
      </c>
      <c r="D1714" s="31">
        <v>4</v>
      </c>
      <c r="E1714" s="41">
        <v>0</v>
      </c>
      <c r="F1714" s="41"/>
      <c r="G1714" s="172"/>
    </row>
    <row r="1715" spans="2:7" x14ac:dyDescent="0.25">
      <c r="B1715" s="47"/>
      <c r="C1715" s="48">
        <v>1</v>
      </c>
      <c r="D1715" s="58">
        <v>2</v>
      </c>
      <c r="E1715" s="59">
        <v>0</v>
      </c>
      <c r="F1715" s="59"/>
      <c r="G1715" s="115"/>
    </row>
    <row r="1716" spans="2:7" x14ac:dyDescent="0.25">
      <c r="B1716" s="60" t="s">
        <v>31</v>
      </c>
      <c r="C1716" s="48">
        <v>2</v>
      </c>
      <c r="D1716" s="59">
        <v>0</v>
      </c>
      <c r="E1716" s="59">
        <v>0</v>
      </c>
      <c r="F1716" s="59"/>
      <c r="G1716" s="382">
        <v>0</v>
      </c>
    </row>
    <row r="1717" spans="2:7" x14ac:dyDescent="0.25">
      <c r="B1717" s="60" t="s">
        <v>32</v>
      </c>
      <c r="C1717" s="48" t="s">
        <v>124</v>
      </c>
      <c r="D1717" s="59">
        <v>0</v>
      </c>
      <c r="E1717" s="59">
        <v>0</v>
      </c>
      <c r="F1717" s="59"/>
      <c r="G1717" s="118">
        <v>0</v>
      </c>
    </row>
    <row r="1718" spans="2:7" ht="15.75" thickBot="1" x14ac:dyDescent="0.3">
      <c r="B1718" s="70"/>
      <c r="C1718" s="71"/>
      <c r="D1718" s="173">
        <v>10</v>
      </c>
      <c r="E1718" s="173">
        <v>0</v>
      </c>
      <c r="F1718" s="173"/>
      <c r="G1718" s="138">
        <v>10</v>
      </c>
    </row>
    <row r="1719" spans="2:7" x14ac:dyDescent="0.25">
      <c r="C1719" s="78"/>
    </row>
    <row r="1720" spans="2:7" ht="19.5" thickBot="1" x14ac:dyDescent="0.35">
      <c r="B1720" s="9" t="s">
        <v>203</v>
      </c>
      <c r="C1720" s="462"/>
      <c r="D1720" s="12"/>
    </row>
    <row r="1721" spans="2:7" x14ac:dyDescent="0.25">
      <c r="B1721" s="20" t="s">
        <v>22</v>
      </c>
      <c r="C1721" s="21" t="s">
        <v>23</v>
      </c>
      <c r="D1721" s="21" t="s">
        <v>24</v>
      </c>
      <c r="E1721" s="21" t="s">
        <v>25</v>
      </c>
      <c r="F1721" s="22" t="s">
        <v>26</v>
      </c>
      <c r="G1721" s="23" t="s">
        <v>27</v>
      </c>
    </row>
    <row r="1722" spans="2:7" x14ac:dyDescent="0.25">
      <c r="B1722" s="29" t="s">
        <v>29</v>
      </c>
      <c r="C1722" s="107" t="s">
        <v>201</v>
      </c>
      <c r="D1722" s="87">
        <v>3</v>
      </c>
      <c r="E1722" s="110">
        <v>0</v>
      </c>
      <c r="F1722" s="110"/>
      <c r="G1722" s="109">
        <v>10</v>
      </c>
    </row>
    <row r="1723" spans="2:7" x14ac:dyDescent="0.25">
      <c r="B1723" s="42"/>
      <c r="C1723" s="30">
        <v>0.25</v>
      </c>
      <c r="D1723" s="41">
        <v>0</v>
      </c>
      <c r="E1723" s="41">
        <v>0</v>
      </c>
      <c r="F1723" s="41"/>
      <c r="G1723" s="172"/>
    </row>
    <row r="1724" spans="2:7" x14ac:dyDescent="0.25">
      <c r="B1724" s="42"/>
      <c r="C1724" s="30">
        <v>0.5</v>
      </c>
      <c r="D1724" s="31">
        <v>6</v>
      </c>
      <c r="E1724" s="41">
        <v>0</v>
      </c>
      <c r="F1724" s="41"/>
      <c r="G1724" s="172"/>
    </row>
    <row r="1725" spans="2:7" x14ac:dyDescent="0.25">
      <c r="B1725" s="47"/>
      <c r="C1725" s="48">
        <v>1</v>
      </c>
      <c r="D1725" s="58">
        <v>1</v>
      </c>
      <c r="E1725" s="59">
        <v>0</v>
      </c>
      <c r="F1725" s="59"/>
      <c r="G1725" s="115"/>
    </row>
    <row r="1726" spans="2:7" x14ac:dyDescent="0.25">
      <c r="B1726" s="60" t="s">
        <v>31</v>
      </c>
      <c r="C1726" s="48">
        <v>2</v>
      </c>
      <c r="D1726" s="59">
        <v>0</v>
      </c>
      <c r="E1726" s="59">
        <v>0</v>
      </c>
      <c r="F1726" s="59"/>
      <c r="G1726" s="382">
        <v>0</v>
      </c>
    </row>
    <row r="1727" spans="2:7" x14ac:dyDescent="0.25">
      <c r="B1727" s="29" t="s">
        <v>32</v>
      </c>
      <c r="C1727" s="30">
        <v>4</v>
      </c>
      <c r="D1727" s="41">
        <v>0</v>
      </c>
      <c r="E1727" s="41">
        <v>0</v>
      </c>
      <c r="F1727" s="41"/>
      <c r="G1727" s="109">
        <v>0</v>
      </c>
    </row>
    <row r="1728" spans="2:7" x14ac:dyDescent="0.25">
      <c r="B1728" s="47"/>
      <c r="C1728" s="48" t="s">
        <v>119</v>
      </c>
      <c r="D1728" s="59">
        <v>0</v>
      </c>
      <c r="E1728" s="59">
        <v>0</v>
      </c>
      <c r="F1728" s="59"/>
      <c r="G1728" s="115"/>
    </row>
    <row r="1729" spans="2:7" ht="15.75" thickBot="1" x14ac:dyDescent="0.3">
      <c r="B1729" s="70"/>
      <c r="C1729" s="71"/>
      <c r="D1729" s="173">
        <v>0</v>
      </c>
      <c r="E1729" s="173">
        <v>0</v>
      </c>
      <c r="F1729" s="173"/>
      <c r="G1729" s="138">
        <v>10</v>
      </c>
    </row>
    <row r="1730" spans="2:7" x14ac:dyDescent="0.25">
      <c r="C1730" s="78"/>
    </row>
    <row r="1731" spans="2:7" ht="19.5" thickBot="1" x14ac:dyDescent="0.35">
      <c r="B1731" s="9" t="s">
        <v>430</v>
      </c>
      <c r="C1731" s="462"/>
      <c r="D1731" s="12"/>
    </row>
    <row r="1732" spans="2:7" x14ac:dyDescent="0.25">
      <c r="B1732" s="20" t="s">
        <v>22</v>
      </c>
      <c r="C1732" s="21" t="s">
        <v>23</v>
      </c>
      <c r="D1732" s="21" t="s">
        <v>24</v>
      </c>
      <c r="E1732" s="21" t="s">
        <v>25</v>
      </c>
      <c r="F1732" s="22" t="s">
        <v>26</v>
      </c>
      <c r="G1732" s="23" t="s">
        <v>27</v>
      </c>
    </row>
    <row r="1733" spans="2:7" x14ac:dyDescent="0.25">
      <c r="B1733" s="29" t="s">
        <v>29</v>
      </c>
      <c r="C1733" s="30" t="s">
        <v>118</v>
      </c>
      <c r="D1733" s="31">
        <v>7</v>
      </c>
      <c r="E1733" s="41">
        <v>0</v>
      </c>
      <c r="F1733" s="41"/>
      <c r="G1733" s="109">
        <v>10</v>
      </c>
    </row>
    <row r="1734" spans="2:7" x14ac:dyDescent="0.25">
      <c r="B1734" s="42"/>
      <c r="C1734" s="30">
        <v>1</v>
      </c>
      <c r="D1734" s="31">
        <v>2</v>
      </c>
      <c r="E1734" s="41">
        <v>0</v>
      </c>
      <c r="F1734" s="41"/>
      <c r="G1734" s="172"/>
    </row>
    <row r="1735" spans="2:7" x14ac:dyDescent="0.25">
      <c r="B1735" s="42"/>
      <c r="C1735" s="30">
        <v>2</v>
      </c>
      <c r="D1735" s="41">
        <v>0</v>
      </c>
      <c r="E1735" s="41">
        <v>0</v>
      </c>
      <c r="F1735" s="41"/>
      <c r="G1735" s="172"/>
    </row>
    <row r="1736" spans="2:7" x14ac:dyDescent="0.25">
      <c r="B1736" s="47"/>
      <c r="C1736" s="48">
        <v>4</v>
      </c>
      <c r="D1736" s="58">
        <v>1</v>
      </c>
      <c r="E1736" s="59">
        <v>0</v>
      </c>
      <c r="F1736" s="59"/>
      <c r="G1736" s="115"/>
    </row>
    <row r="1737" spans="2:7" x14ac:dyDescent="0.25">
      <c r="B1737" s="29" t="s">
        <v>32</v>
      </c>
      <c r="C1737" s="30">
        <v>8</v>
      </c>
      <c r="D1737" s="41">
        <v>0</v>
      </c>
      <c r="E1737" s="41">
        <v>0</v>
      </c>
      <c r="F1737" s="41"/>
      <c r="G1737" s="109">
        <v>0</v>
      </c>
    </row>
    <row r="1738" spans="2:7" x14ac:dyDescent="0.25">
      <c r="B1738" s="47"/>
      <c r="C1738" s="48" t="s">
        <v>61</v>
      </c>
      <c r="D1738" s="59">
        <v>0</v>
      </c>
      <c r="E1738" s="59">
        <v>0</v>
      </c>
      <c r="F1738" s="59"/>
      <c r="G1738" s="115"/>
    </row>
    <row r="1739" spans="2:7" ht="15.75" thickBot="1" x14ac:dyDescent="0.3">
      <c r="B1739" s="70"/>
      <c r="C1739" s="71"/>
      <c r="D1739" s="173">
        <v>10</v>
      </c>
      <c r="E1739" s="173">
        <v>0</v>
      </c>
      <c r="F1739" s="173"/>
      <c r="G1739" s="138">
        <v>10</v>
      </c>
    </row>
    <row r="1740" spans="2:7" x14ac:dyDescent="0.25">
      <c r="C1740" s="78"/>
    </row>
    <row r="1741" spans="2:7" ht="19.5" thickBot="1" x14ac:dyDescent="0.35">
      <c r="B1741" s="9" t="s">
        <v>214</v>
      </c>
      <c r="C1741" s="462"/>
      <c r="D1741" s="12"/>
    </row>
    <row r="1742" spans="2:7" x14ac:dyDescent="0.25">
      <c r="B1742" s="20" t="s">
        <v>22</v>
      </c>
      <c r="C1742" s="21" t="s">
        <v>23</v>
      </c>
      <c r="D1742" s="21" t="s">
        <v>24</v>
      </c>
      <c r="E1742" s="21" t="s">
        <v>25</v>
      </c>
      <c r="F1742" s="22" t="s">
        <v>26</v>
      </c>
      <c r="G1742" s="23" t="s">
        <v>27</v>
      </c>
    </row>
    <row r="1743" spans="2:7" x14ac:dyDescent="0.25">
      <c r="B1743" s="29" t="s">
        <v>29</v>
      </c>
      <c r="C1743" s="30" t="s">
        <v>123</v>
      </c>
      <c r="D1743" s="31">
        <v>10</v>
      </c>
      <c r="E1743" s="41">
        <v>0</v>
      </c>
      <c r="F1743" s="551"/>
      <c r="G1743" s="109">
        <v>10</v>
      </c>
    </row>
    <row r="1744" spans="2:7" x14ac:dyDescent="0.25">
      <c r="B1744" s="42"/>
      <c r="C1744" s="30">
        <v>0.5</v>
      </c>
      <c r="D1744" s="41">
        <v>0</v>
      </c>
      <c r="E1744" s="41">
        <v>0</v>
      </c>
      <c r="F1744" s="41"/>
      <c r="G1744" s="172"/>
    </row>
    <row r="1745" spans="2:7" x14ac:dyDescent="0.25">
      <c r="B1745" s="42"/>
      <c r="C1745" s="30">
        <v>1</v>
      </c>
      <c r="D1745" s="41">
        <v>0</v>
      </c>
      <c r="E1745" s="41">
        <v>0</v>
      </c>
      <c r="F1745" s="41"/>
      <c r="G1745" s="172"/>
    </row>
    <row r="1746" spans="2:7" x14ac:dyDescent="0.25">
      <c r="B1746" s="47"/>
      <c r="C1746" s="48">
        <v>2</v>
      </c>
      <c r="D1746" s="59">
        <v>0</v>
      </c>
      <c r="E1746" s="59">
        <v>0</v>
      </c>
      <c r="F1746" s="59"/>
      <c r="G1746" s="115"/>
    </row>
    <row r="1747" spans="2:7" x14ac:dyDescent="0.25">
      <c r="B1747" s="60" t="s">
        <v>32</v>
      </c>
      <c r="C1747" s="48" t="s">
        <v>124</v>
      </c>
      <c r="D1747" s="59">
        <v>0</v>
      </c>
      <c r="E1747" s="59">
        <v>0</v>
      </c>
      <c r="F1747" s="59"/>
      <c r="G1747" s="118">
        <v>0</v>
      </c>
    </row>
    <row r="1748" spans="2:7" ht="15.75" thickBot="1" x14ac:dyDescent="0.3">
      <c r="B1748" s="70"/>
      <c r="C1748" s="71"/>
      <c r="D1748" s="552">
        <v>10</v>
      </c>
      <c r="E1748" s="173">
        <v>0</v>
      </c>
      <c r="F1748" s="173"/>
      <c r="G1748" s="138">
        <v>10</v>
      </c>
    </row>
    <row r="1749" spans="2:7" x14ac:dyDescent="0.25">
      <c r="C1749" s="78"/>
    </row>
    <row r="1750" spans="2:7" ht="19.5" thickBot="1" x14ac:dyDescent="0.35">
      <c r="B1750" s="9" t="s">
        <v>212</v>
      </c>
      <c r="C1750" s="462"/>
      <c r="D1750" s="12"/>
    </row>
    <row r="1751" spans="2:7" x14ac:dyDescent="0.25">
      <c r="B1751" s="20" t="s">
        <v>22</v>
      </c>
      <c r="C1751" s="21" t="s">
        <v>23</v>
      </c>
      <c r="D1751" s="21" t="s">
        <v>24</v>
      </c>
      <c r="E1751" s="21" t="s">
        <v>25</v>
      </c>
      <c r="F1751" s="22" t="s">
        <v>26</v>
      </c>
      <c r="G1751" s="23" t="s">
        <v>27</v>
      </c>
    </row>
    <row r="1752" spans="2:7" x14ac:dyDescent="0.25">
      <c r="B1752" s="463" t="s">
        <v>29</v>
      </c>
      <c r="C1752" s="464" t="s">
        <v>118</v>
      </c>
      <c r="D1752" s="480">
        <v>10</v>
      </c>
      <c r="E1752" s="28">
        <v>0</v>
      </c>
      <c r="F1752" s="28"/>
      <c r="G1752" s="468">
        <v>10</v>
      </c>
    </row>
    <row r="1753" spans="2:7" x14ac:dyDescent="0.25">
      <c r="B1753" s="29" t="s">
        <v>32</v>
      </c>
      <c r="C1753" s="30">
        <v>1</v>
      </c>
      <c r="D1753" s="41">
        <v>0</v>
      </c>
      <c r="E1753" s="41">
        <v>0</v>
      </c>
      <c r="F1753" s="41"/>
      <c r="G1753" s="553">
        <v>0</v>
      </c>
    </row>
    <row r="1754" spans="2:7" x14ac:dyDescent="0.25">
      <c r="B1754" s="42"/>
      <c r="C1754" s="30">
        <v>2</v>
      </c>
      <c r="D1754" s="41">
        <v>0</v>
      </c>
      <c r="E1754" s="41">
        <v>0</v>
      </c>
      <c r="F1754" s="41"/>
      <c r="G1754" s="554"/>
    </row>
    <row r="1755" spans="2:7" x14ac:dyDescent="0.25">
      <c r="B1755" s="42"/>
      <c r="C1755" s="30">
        <v>4</v>
      </c>
      <c r="D1755" s="41">
        <v>0</v>
      </c>
      <c r="E1755" s="41">
        <v>0</v>
      </c>
      <c r="F1755" s="41"/>
      <c r="G1755" s="554"/>
    </row>
    <row r="1756" spans="2:7" x14ac:dyDescent="0.25">
      <c r="B1756" s="47"/>
      <c r="C1756" s="48" t="s">
        <v>119</v>
      </c>
      <c r="D1756" s="59">
        <v>0</v>
      </c>
      <c r="E1756" s="59">
        <v>0</v>
      </c>
      <c r="F1756" s="59"/>
      <c r="G1756" s="555"/>
    </row>
    <row r="1757" spans="2:7" ht="15.75" thickBot="1" x14ac:dyDescent="0.3">
      <c r="B1757" s="70"/>
      <c r="C1757" s="71"/>
      <c r="D1757" s="173">
        <v>10</v>
      </c>
      <c r="E1757" s="173">
        <v>0</v>
      </c>
      <c r="F1757" s="173"/>
      <c r="G1757" s="138">
        <v>10</v>
      </c>
    </row>
    <row r="1758" spans="2:7" x14ac:dyDescent="0.25">
      <c r="C1758" s="78"/>
    </row>
    <row r="1759" spans="2:7" ht="19.5" thickBot="1" x14ac:dyDescent="0.35">
      <c r="B1759" s="15" t="s">
        <v>150</v>
      </c>
      <c r="C1759" s="85"/>
      <c r="D1759" s="12"/>
      <c r="E1759" s="15"/>
      <c r="F1759" s="17"/>
      <c r="G1759" s="18"/>
    </row>
    <row r="1760" spans="2:7" x14ac:dyDescent="0.25">
      <c r="B1760" s="20" t="s">
        <v>22</v>
      </c>
      <c r="C1760" s="21" t="s">
        <v>23</v>
      </c>
      <c r="D1760" s="21" t="s">
        <v>24</v>
      </c>
      <c r="E1760" s="21" t="s">
        <v>25</v>
      </c>
      <c r="F1760" s="22" t="s">
        <v>26</v>
      </c>
      <c r="G1760" s="23" t="s">
        <v>27</v>
      </c>
    </row>
    <row r="1761" spans="2:7" x14ac:dyDescent="0.25">
      <c r="B1761" s="243" t="s">
        <v>661</v>
      </c>
      <c r="C1761" s="244" t="s">
        <v>30</v>
      </c>
      <c r="D1761" s="248">
        <v>10</v>
      </c>
      <c r="E1761" s="249">
        <v>0</v>
      </c>
      <c r="F1761" s="556"/>
      <c r="G1761" s="247">
        <v>10</v>
      </c>
    </row>
    <row r="1762" spans="2:7" x14ac:dyDescent="0.25">
      <c r="B1762" s="255" t="s">
        <v>31</v>
      </c>
      <c r="C1762" s="256">
        <v>0.5</v>
      </c>
      <c r="D1762" s="256">
        <v>0</v>
      </c>
      <c r="E1762" s="256">
        <v>0</v>
      </c>
      <c r="F1762" s="257"/>
      <c r="G1762" s="258">
        <v>0</v>
      </c>
    </row>
    <row r="1763" spans="2:7" x14ac:dyDescent="0.25">
      <c r="B1763" s="263" t="s">
        <v>32</v>
      </c>
      <c r="C1763" s="264">
        <v>1</v>
      </c>
      <c r="D1763" s="264">
        <v>0</v>
      </c>
      <c r="E1763" s="264">
        <v>0</v>
      </c>
      <c r="F1763" s="265"/>
      <c r="G1763" s="266">
        <v>0</v>
      </c>
    </row>
    <row r="1764" spans="2:7" x14ac:dyDescent="0.25">
      <c r="B1764" s="269"/>
      <c r="C1764" s="264">
        <v>2</v>
      </c>
      <c r="D1764" s="264">
        <v>0</v>
      </c>
      <c r="E1764" s="272">
        <v>0</v>
      </c>
      <c r="F1764" s="95"/>
      <c r="G1764" s="271"/>
    </row>
    <row r="1765" spans="2:7" x14ac:dyDescent="0.25">
      <c r="B1765" s="274"/>
      <c r="C1765" s="275" t="s">
        <v>157</v>
      </c>
      <c r="D1765" s="275">
        <v>0</v>
      </c>
      <c r="E1765" s="278">
        <v>0</v>
      </c>
      <c r="F1765" s="105"/>
      <c r="G1765" s="277"/>
    </row>
    <row r="1766" spans="2:7" ht="15.75" thickBot="1" x14ac:dyDescent="0.3">
      <c r="B1766" s="284"/>
      <c r="C1766" s="285"/>
      <c r="D1766" s="285">
        <v>10</v>
      </c>
      <c r="E1766" s="285">
        <v>0</v>
      </c>
      <c r="F1766" s="286"/>
      <c r="G1766" s="287">
        <v>10</v>
      </c>
    </row>
    <row r="1767" spans="2:7" x14ac:dyDescent="0.25">
      <c r="B1767" s="6"/>
      <c r="C1767" s="6"/>
      <c r="D1767" s="6"/>
      <c r="E1767" s="6"/>
      <c r="F1767" s="6"/>
      <c r="G1767" s="6"/>
    </row>
    <row r="1768" spans="2:7" ht="19.5" thickBot="1" x14ac:dyDescent="0.35">
      <c r="B1768" s="15" t="s">
        <v>160</v>
      </c>
      <c r="C1768" s="16"/>
      <c r="D1768" s="12"/>
      <c r="E1768" s="15"/>
      <c r="F1768" s="15"/>
      <c r="G1768" s="15"/>
    </row>
    <row r="1769" spans="2:7" x14ac:dyDescent="0.25">
      <c r="B1769" s="20" t="s">
        <v>22</v>
      </c>
      <c r="C1769" s="21" t="s">
        <v>23</v>
      </c>
      <c r="D1769" s="21" t="s">
        <v>24</v>
      </c>
      <c r="E1769" s="21" t="s">
        <v>25</v>
      </c>
      <c r="F1769" s="22" t="s">
        <v>26</v>
      </c>
      <c r="G1769" s="23" t="s">
        <v>27</v>
      </c>
    </row>
    <row r="1770" spans="2:7" x14ac:dyDescent="0.25">
      <c r="B1770" s="243" t="s">
        <v>29</v>
      </c>
      <c r="C1770" s="244" t="s">
        <v>30</v>
      </c>
      <c r="D1770" s="248">
        <v>10</v>
      </c>
      <c r="E1770" s="249">
        <v>0</v>
      </c>
      <c r="F1770" s="556"/>
      <c r="G1770" s="247">
        <v>10</v>
      </c>
    </row>
    <row r="1771" spans="2:7" x14ac:dyDescent="0.25">
      <c r="B1771" s="255" t="s">
        <v>31</v>
      </c>
      <c r="C1771" s="256">
        <v>0.5</v>
      </c>
      <c r="D1771" s="256">
        <v>0</v>
      </c>
      <c r="E1771" s="256">
        <v>0</v>
      </c>
      <c r="F1771" s="257"/>
      <c r="G1771" s="258">
        <v>0</v>
      </c>
    </row>
    <row r="1772" spans="2:7" x14ac:dyDescent="0.25">
      <c r="B1772" s="263" t="s">
        <v>32</v>
      </c>
      <c r="C1772" s="264">
        <v>1</v>
      </c>
      <c r="D1772" s="264">
        <v>0</v>
      </c>
      <c r="E1772" s="264">
        <v>0</v>
      </c>
      <c r="F1772" s="265"/>
      <c r="G1772" s="266">
        <v>0</v>
      </c>
    </row>
    <row r="1773" spans="2:7" x14ac:dyDescent="0.25">
      <c r="B1773" s="269"/>
      <c r="C1773" s="264">
        <v>2</v>
      </c>
      <c r="D1773" s="264">
        <v>0</v>
      </c>
      <c r="E1773" s="272">
        <v>0</v>
      </c>
      <c r="F1773" s="95"/>
      <c r="G1773" s="271"/>
    </row>
    <row r="1774" spans="2:7" x14ac:dyDescent="0.25">
      <c r="B1774" s="274"/>
      <c r="C1774" s="275" t="s">
        <v>157</v>
      </c>
      <c r="D1774" s="275">
        <v>0</v>
      </c>
      <c r="E1774" s="278">
        <v>0</v>
      </c>
      <c r="F1774" s="105"/>
      <c r="G1774" s="277"/>
    </row>
    <row r="1775" spans="2:7" ht="15.75" thickBot="1" x14ac:dyDescent="0.3">
      <c r="B1775" s="284"/>
      <c r="C1775" s="285"/>
      <c r="D1775" s="285">
        <v>10</v>
      </c>
      <c r="E1775" s="285">
        <v>0</v>
      </c>
      <c r="F1775" s="286"/>
      <c r="G1775" s="287">
        <v>10</v>
      </c>
    </row>
    <row r="1776" spans="2:7" x14ac:dyDescent="0.25">
      <c r="B1776" s="6"/>
      <c r="C1776" s="6"/>
      <c r="D1776" s="6"/>
      <c r="E1776" s="6"/>
      <c r="F1776" s="6"/>
      <c r="G1776" s="6"/>
    </row>
    <row r="1777" spans="2:7" ht="19.5" thickBot="1" x14ac:dyDescent="0.35">
      <c r="B1777" s="15" t="s">
        <v>44</v>
      </c>
      <c r="C1777" s="16"/>
      <c r="D1777" s="12"/>
      <c r="E1777" s="15"/>
      <c r="F1777" s="15"/>
      <c r="G1777" s="18"/>
    </row>
    <row r="1778" spans="2:7" x14ac:dyDescent="0.25">
      <c r="B1778" s="20" t="s">
        <v>22</v>
      </c>
      <c r="C1778" s="21" t="s">
        <v>23</v>
      </c>
      <c r="D1778" s="21" t="s">
        <v>24</v>
      </c>
      <c r="E1778" s="21" t="s">
        <v>25</v>
      </c>
      <c r="F1778" s="22" t="s">
        <v>26</v>
      </c>
      <c r="G1778" s="23" t="s">
        <v>27</v>
      </c>
    </row>
    <row r="1779" spans="2:7" x14ac:dyDescent="0.25">
      <c r="B1779" s="263" t="s">
        <v>29</v>
      </c>
      <c r="C1779" s="557" t="s">
        <v>82</v>
      </c>
      <c r="D1779" s="558">
        <v>10</v>
      </c>
      <c r="E1779" s="559">
        <v>0</v>
      </c>
      <c r="F1779" s="560"/>
      <c r="G1779" s="37">
        <v>10</v>
      </c>
    </row>
    <row r="1780" spans="2:7" x14ac:dyDescent="0.25">
      <c r="B1780" s="274"/>
      <c r="C1780" s="54">
        <v>2</v>
      </c>
      <c r="D1780" s="54">
        <v>0</v>
      </c>
      <c r="E1780" s="54">
        <v>0</v>
      </c>
      <c r="F1780" s="320"/>
      <c r="G1780" s="55"/>
    </row>
    <row r="1781" spans="2:7" x14ac:dyDescent="0.25">
      <c r="B1781" s="263" t="s">
        <v>32</v>
      </c>
      <c r="C1781" s="36">
        <v>4</v>
      </c>
      <c r="D1781" s="36">
        <v>0</v>
      </c>
      <c r="E1781" s="36">
        <v>0</v>
      </c>
      <c r="F1781" s="322"/>
      <c r="G1781" s="37">
        <v>0</v>
      </c>
    </row>
    <row r="1782" spans="2:7" x14ac:dyDescent="0.25">
      <c r="B1782" s="269"/>
      <c r="C1782" s="36">
        <v>8</v>
      </c>
      <c r="D1782" s="36">
        <v>0</v>
      </c>
      <c r="E1782" s="36">
        <v>0</v>
      </c>
      <c r="F1782" s="322"/>
      <c r="G1782" s="46"/>
    </row>
    <row r="1783" spans="2:7" x14ac:dyDescent="0.25">
      <c r="B1783" s="274"/>
      <c r="C1783" s="54" t="s">
        <v>87</v>
      </c>
      <c r="D1783" s="54">
        <v>0</v>
      </c>
      <c r="E1783" s="327">
        <v>0</v>
      </c>
      <c r="F1783" s="294"/>
      <c r="G1783" s="55"/>
    </row>
    <row r="1784" spans="2:7" ht="15.75" thickBot="1" x14ac:dyDescent="0.3">
      <c r="B1784" s="284"/>
      <c r="C1784" s="76"/>
      <c r="D1784" s="76">
        <v>10</v>
      </c>
      <c r="E1784" s="76">
        <v>0</v>
      </c>
      <c r="F1784" s="331"/>
      <c r="G1784" s="77">
        <v>10</v>
      </c>
    </row>
    <row r="1785" spans="2:7" x14ac:dyDescent="0.25">
      <c r="B1785" s="6"/>
      <c r="C1785" s="6"/>
      <c r="D1785" s="6"/>
      <c r="E1785" s="6"/>
      <c r="F1785" s="6"/>
      <c r="G1785" s="6"/>
    </row>
    <row r="1786" spans="2:7" ht="19.5" thickBot="1" x14ac:dyDescent="0.35">
      <c r="B1786" s="15" t="s">
        <v>662</v>
      </c>
      <c r="C1786" s="16"/>
      <c r="D1786" s="12"/>
      <c r="E1786" s="16"/>
      <c r="F1786" s="16"/>
      <c r="G1786" s="16"/>
    </row>
    <row r="1787" spans="2:7" x14ac:dyDescent="0.25">
      <c r="B1787" s="20" t="s">
        <v>22</v>
      </c>
      <c r="C1787" s="21" t="s">
        <v>23</v>
      </c>
      <c r="D1787" s="21" t="s">
        <v>24</v>
      </c>
      <c r="E1787" s="21" t="s">
        <v>25</v>
      </c>
      <c r="F1787" s="22" t="s">
        <v>26</v>
      </c>
      <c r="G1787" s="23" t="s">
        <v>27</v>
      </c>
    </row>
    <row r="1788" spans="2:7" x14ac:dyDescent="0.25">
      <c r="B1788" s="243" t="s">
        <v>29</v>
      </c>
      <c r="C1788" s="244" t="s">
        <v>183</v>
      </c>
      <c r="D1788" s="248">
        <v>10</v>
      </c>
      <c r="E1788" s="249">
        <v>0</v>
      </c>
      <c r="F1788" s="561"/>
      <c r="G1788" s="247">
        <v>10</v>
      </c>
    </row>
    <row r="1789" spans="2:7" x14ac:dyDescent="0.25">
      <c r="B1789" s="255" t="s">
        <v>31</v>
      </c>
      <c r="C1789" s="353" t="s">
        <v>184</v>
      </c>
      <c r="D1789" s="256">
        <v>0</v>
      </c>
      <c r="E1789" s="256">
        <v>0</v>
      </c>
      <c r="F1789" s="354"/>
      <c r="G1789" s="258">
        <v>0</v>
      </c>
    </row>
    <row r="1790" spans="2:7" x14ac:dyDescent="0.25">
      <c r="B1790" s="263" t="s">
        <v>32</v>
      </c>
      <c r="C1790" s="562" t="s">
        <v>53</v>
      </c>
      <c r="D1790" s="364">
        <v>0</v>
      </c>
      <c r="E1790" s="364">
        <v>0</v>
      </c>
      <c r="F1790" s="563"/>
      <c r="G1790" s="266">
        <v>0</v>
      </c>
    </row>
    <row r="1791" spans="2:7" x14ac:dyDescent="0.25">
      <c r="B1791" s="269"/>
      <c r="C1791" s="358" t="s">
        <v>55</v>
      </c>
      <c r="D1791" s="264">
        <v>0</v>
      </c>
      <c r="E1791" s="264">
        <v>0</v>
      </c>
      <c r="F1791" s="359"/>
      <c r="G1791" s="271"/>
    </row>
    <row r="1792" spans="2:7" x14ac:dyDescent="0.25">
      <c r="B1792" s="274"/>
      <c r="C1792" s="256" t="s">
        <v>185</v>
      </c>
      <c r="D1792" s="300">
        <v>0</v>
      </c>
      <c r="E1792" s="300">
        <v>0</v>
      </c>
      <c r="F1792" s="343"/>
      <c r="G1792" s="277"/>
    </row>
    <row r="1793" spans="2:7" ht="15.75" thickBot="1" x14ac:dyDescent="0.3">
      <c r="B1793" s="284"/>
      <c r="C1793" s="285"/>
      <c r="D1793" s="285">
        <v>10</v>
      </c>
      <c r="E1793" s="285">
        <v>0</v>
      </c>
      <c r="F1793" s="349"/>
      <c r="G1793" s="287">
        <v>10</v>
      </c>
    </row>
    <row r="1794" spans="2:7" x14ac:dyDescent="0.25">
      <c r="B1794" s="179"/>
      <c r="C1794" s="6"/>
      <c r="D1794" s="6"/>
      <c r="E1794" s="179"/>
      <c r="F1794" s="6"/>
      <c r="G1794" s="6"/>
    </row>
    <row r="1796" spans="2:7" ht="18.75" x14ac:dyDescent="0.3">
      <c r="B1796" s="9" t="s">
        <v>663</v>
      </c>
    </row>
    <row r="1797" spans="2:7" x14ac:dyDescent="0.25">
      <c r="B1797" s="25"/>
      <c r="C1797" s="26" t="s">
        <v>24</v>
      </c>
      <c r="D1797" s="27" t="s">
        <v>25</v>
      </c>
      <c r="E1797" s="27" t="s">
        <v>27</v>
      </c>
      <c r="F1797" s="28" t="s">
        <v>28</v>
      </c>
    </row>
    <row r="1798" spans="2:7" x14ac:dyDescent="0.25">
      <c r="B1798" s="38" t="s">
        <v>109</v>
      </c>
      <c r="C1798" s="39">
        <v>90</v>
      </c>
      <c r="D1798" s="40">
        <v>0</v>
      </c>
      <c r="E1798" s="32">
        <f>SUM(C1798,D1798)</f>
        <v>90</v>
      </c>
      <c r="F1798" s="41">
        <f>E1798/E1800*100</f>
        <v>100</v>
      </c>
    </row>
    <row r="1799" spans="2:7" x14ac:dyDescent="0.25">
      <c r="B1799" s="56" t="s">
        <v>110</v>
      </c>
      <c r="C1799" s="57">
        <v>0</v>
      </c>
      <c r="D1799" s="58">
        <v>0</v>
      </c>
      <c r="E1799" s="50">
        <f>SUM(C1799,D1799)</f>
        <v>0</v>
      </c>
      <c r="F1799" s="59">
        <f>E1799/E1800*100</f>
        <v>0</v>
      </c>
    </row>
    <row r="1800" spans="2:7" x14ac:dyDescent="0.25">
      <c r="B1800" s="56" t="s">
        <v>27</v>
      </c>
      <c r="C1800" s="64">
        <f>SUM(C1798,C1799)</f>
        <v>90</v>
      </c>
      <c r="D1800" s="50">
        <f>SUM(D1798,D1799)</f>
        <v>0</v>
      </c>
      <c r="E1800" s="50">
        <f>SUM(C1798:D1799)</f>
        <v>90</v>
      </c>
      <c r="F1800" s="59"/>
    </row>
    <row r="1801" spans="2:7" x14ac:dyDescent="0.25">
      <c r="B1801" s="56" t="s">
        <v>28</v>
      </c>
      <c r="C1801" s="64">
        <f>C1800/E1800*100</f>
        <v>100</v>
      </c>
      <c r="D1801" s="59">
        <f>D1800/E1800*100</f>
        <v>0</v>
      </c>
      <c r="E1801" s="59"/>
      <c r="F1801" s="59"/>
    </row>
    <row r="1805" spans="2:7" ht="18.75" x14ac:dyDescent="0.3">
      <c r="B1805" s="9" t="s">
        <v>111</v>
      </c>
    </row>
    <row r="1806" spans="2:7" x14ac:dyDescent="0.25">
      <c r="B1806" s="180" t="s">
        <v>112</v>
      </c>
    </row>
    <row r="1808" spans="2:7" x14ac:dyDescent="0.25">
      <c r="B1808" s="181" t="s">
        <v>224</v>
      </c>
      <c r="C1808" s="1" t="s">
        <v>259</v>
      </c>
      <c r="E1808" s="12"/>
    </row>
    <row r="1809" spans="2:5" x14ac:dyDescent="0.25">
      <c r="B1809" s="483" t="s">
        <v>22</v>
      </c>
      <c r="C1809" s="483" t="s">
        <v>23</v>
      </c>
      <c r="D1809" s="25" t="s">
        <v>117</v>
      </c>
    </row>
    <row r="1810" spans="2:5" x14ac:dyDescent="0.25">
      <c r="B1810" s="189" t="s">
        <v>638</v>
      </c>
      <c r="C1810" s="208" t="s">
        <v>46</v>
      </c>
      <c r="D1810" s="38">
        <v>3</v>
      </c>
    </row>
    <row r="1811" spans="2:5" x14ac:dyDescent="0.25">
      <c r="B1811" s="191"/>
      <c r="C1811" s="564">
        <v>1</v>
      </c>
      <c r="D1811" s="38">
        <v>3</v>
      </c>
    </row>
    <row r="1812" spans="2:5" x14ac:dyDescent="0.25">
      <c r="B1812" s="191"/>
      <c r="C1812" s="208">
        <v>2</v>
      </c>
      <c r="D1812" s="38">
        <v>3</v>
      </c>
    </row>
    <row r="1813" spans="2:5" x14ac:dyDescent="0.25">
      <c r="B1813" s="190"/>
      <c r="C1813" s="186">
        <v>4</v>
      </c>
      <c r="D1813" s="56">
        <v>1</v>
      </c>
    </row>
    <row r="1814" spans="2:5" x14ac:dyDescent="0.25">
      <c r="B1814" s="25" t="s">
        <v>664</v>
      </c>
      <c r="C1814" s="186" t="s">
        <v>33</v>
      </c>
      <c r="D1814" s="56">
        <v>0</v>
      </c>
    </row>
    <row r="1815" spans="2:5" x14ac:dyDescent="0.25">
      <c r="B1815" s="78"/>
    </row>
    <row r="1816" spans="2:5" x14ac:dyDescent="0.25">
      <c r="B1816" s="78"/>
    </row>
    <row r="1817" spans="2:5" x14ac:dyDescent="0.25">
      <c r="B1817" s="78"/>
    </row>
    <row r="1818" spans="2:5" ht="18.75" x14ac:dyDescent="0.3">
      <c r="B1818" s="214" t="s">
        <v>131</v>
      </c>
      <c r="E1818" s="12"/>
    </row>
    <row r="1819" spans="2:5" x14ac:dyDescent="0.25">
      <c r="B1819" s="78" t="s">
        <v>344</v>
      </c>
    </row>
    <row r="1820" spans="2:5" x14ac:dyDescent="0.25">
      <c r="B1820" s="78"/>
    </row>
    <row r="1821" spans="2:5" x14ac:dyDescent="0.25">
      <c r="B1821" s="215" t="s">
        <v>310</v>
      </c>
      <c r="C1821" s="216" t="s">
        <v>275</v>
      </c>
      <c r="D1821" s="216"/>
    </row>
    <row r="1822" spans="2:5" x14ac:dyDescent="0.25">
      <c r="B1822" s="447" t="s">
        <v>23</v>
      </c>
      <c r="C1822" s="448" t="s">
        <v>117</v>
      </c>
      <c r="D1822" s="449" t="s">
        <v>26</v>
      </c>
    </row>
    <row r="1823" spans="2:5" x14ac:dyDescent="0.25">
      <c r="B1823" s="220" t="s">
        <v>103</v>
      </c>
      <c r="C1823" s="5">
        <v>0</v>
      </c>
      <c r="D1823" s="151"/>
    </row>
    <row r="1824" spans="2:5" x14ac:dyDescent="0.25">
      <c r="B1824" s="220">
        <v>0.06</v>
      </c>
      <c r="C1824" s="5">
        <v>0</v>
      </c>
      <c r="D1824" s="151"/>
    </row>
    <row r="1825" spans="2:4" x14ac:dyDescent="0.25">
      <c r="B1825" s="220">
        <v>0.12</v>
      </c>
      <c r="C1825" s="5">
        <v>0</v>
      </c>
      <c r="D1825" s="151"/>
    </row>
    <row r="1826" spans="2:4" x14ac:dyDescent="0.25">
      <c r="B1826" s="220">
        <v>0.25</v>
      </c>
      <c r="C1826" s="5">
        <v>0</v>
      </c>
      <c r="D1826" s="151"/>
    </row>
    <row r="1827" spans="2:4" x14ac:dyDescent="0.25">
      <c r="B1827" s="475">
        <v>0.5</v>
      </c>
      <c r="C1827" s="5">
        <v>0</v>
      </c>
      <c r="D1827" s="151"/>
    </row>
    <row r="1828" spans="2:4" x14ac:dyDescent="0.25">
      <c r="B1828" s="220">
        <v>1</v>
      </c>
      <c r="C1828" s="5">
        <v>1</v>
      </c>
      <c r="D1828" s="151" t="s">
        <v>665</v>
      </c>
    </row>
    <row r="1829" spans="2:4" x14ac:dyDescent="0.25">
      <c r="B1829" s="475">
        <v>2</v>
      </c>
      <c r="C1829" s="5">
        <v>2</v>
      </c>
      <c r="D1829" s="151" t="s">
        <v>666</v>
      </c>
    </row>
    <row r="1830" spans="2:4" x14ac:dyDescent="0.25">
      <c r="B1830" s="220">
        <v>4</v>
      </c>
      <c r="C1830" s="5">
        <v>0</v>
      </c>
      <c r="D1830" s="151"/>
    </row>
    <row r="1831" spans="2:4" x14ac:dyDescent="0.25">
      <c r="B1831" s="221" t="s">
        <v>33</v>
      </c>
      <c r="C1831" s="222">
        <v>7</v>
      </c>
      <c r="D1831" s="162" t="s">
        <v>667</v>
      </c>
    </row>
    <row r="1832" spans="2:4" x14ac:dyDescent="0.25">
      <c r="B1832" s="230"/>
      <c r="C1832" s="5"/>
      <c r="D1832" s="5"/>
    </row>
    <row r="1833" spans="2:4" x14ac:dyDescent="0.25">
      <c r="B1833" s="215" t="s">
        <v>233</v>
      </c>
      <c r="C1833" s="385" t="s">
        <v>668</v>
      </c>
      <c r="D1833" s="5"/>
    </row>
    <row r="1834" spans="2:4" x14ac:dyDescent="0.25">
      <c r="B1834" s="447" t="s">
        <v>23</v>
      </c>
      <c r="C1834" s="448" t="s">
        <v>117</v>
      </c>
      <c r="D1834" s="449" t="s">
        <v>26</v>
      </c>
    </row>
    <row r="1835" spans="2:4" x14ac:dyDescent="0.25">
      <c r="B1835" s="220" t="s">
        <v>235</v>
      </c>
      <c r="C1835" s="5">
        <v>10</v>
      </c>
      <c r="D1835" s="151"/>
    </row>
    <row r="1836" spans="2:4" x14ac:dyDescent="0.25">
      <c r="B1836" s="220">
        <v>4</v>
      </c>
      <c r="C1836" s="5">
        <v>0</v>
      </c>
      <c r="D1836" s="151"/>
    </row>
    <row r="1837" spans="2:4" x14ac:dyDescent="0.25">
      <c r="B1837" s="220">
        <v>6</v>
      </c>
      <c r="C1837" s="5">
        <v>0</v>
      </c>
      <c r="D1837" s="151"/>
    </row>
    <row r="1838" spans="2:4" x14ac:dyDescent="0.25">
      <c r="B1838" s="220">
        <v>8</v>
      </c>
      <c r="C1838" s="5">
        <v>0</v>
      </c>
      <c r="D1838" s="151"/>
    </row>
    <row r="1839" spans="2:4" x14ac:dyDescent="0.25">
      <c r="B1839" s="220">
        <v>16</v>
      </c>
      <c r="C1839" s="5">
        <v>0</v>
      </c>
      <c r="D1839" s="151"/>
    </row>
    <row r="1840" spans="2:4" x14ac:dyDescent="0.25">
      <c r="B1840" s="221" t="s">
        <v>139</v>
      </c>
      <c r="C1840" s="222">
        <v>0</v>
      </c>
      <c r="D1840" s="162"/>
    </row>
    <row r="1841" spans="2:5" x14ac:dyDescent="0.25">
      <c r="B1841" s="230"/>
      <c r="C1841" s="5"/>
      <c r="D1841" s="5"/>
    </row>
    <row r="1842" spans="2:5" x14ac:dyDescent="0.25">
      <c r="B1842" s="215" t="s">
        <v>120</v>
      </c>
      <c r="C1842" s="216" t="s">
        <v>669</v>
      </c>
      <c r="D1842" s="5"/>
      <c r="E1842" s="12"/>
    </row>
    <row r="1843" spans="2:5" x14ac:dyDescent="0.25">
      <c r="B1843" s="447" t="s">
        <v>23</v>
      </c>
      <c r="C1843" s="448" t="s">
        <v>117</v>
      </c>
      <c r="D1843" s="449" t="s">
        <v>26</v>
      </c>
    </row>
    <row r="1844" spans="2:5" x14ac:dyDescent="0.25">
      <c r="B1844" s="220" t="s">
        <v>118</v>
      </c>
      <c r="C1844" s="5">
        <v>10</v>
      </c>
      <c r="D1844" s="151"/>
    </row>
    <row r="1845" spans="2:5" x14ac:dyDescent="0.25">
      <c r="B1845" s="220">
        <v>1</v>
      </c>
      <c r="C1845" s="5">
        <v>0</v>
      </c>
      <c r="D1845" s="151"/>
    </row>
    <row r="1846" spans="2:5" x14ac:dyDescent="0.25">
      <c r="B1846" s="220">
        <v>2</v>
      </c>
      <c r="C1846" s="5">
        <v>0</v>
      </c>
      <c r="D1846" s="151"/>
    </row>
    <row r="1847" spans="2:5" x14ac:dyDescent="0.25">
      <c r="B1847" s="220">
        <v>4</v>
      </c>
      <c r="C1847" s="5">
        <v>0</v>
      </c>
      <c r="D1847" s="151"/>
    </row>
    <row r="1848" spans="2:5" x14ac:dyDescent="0.25">
      <c r="B1848" s="221" t="s">
        <v>119</v>
      </c>
      <c r="C1848" s="222">
        <v>0</v>
      </c>
      <c r="D1848" s="162"/>
    </row>
    <row r="1849" spans="2:5" x14ac:dyDescent="0.25">
      <c r="B1849" s="230"/>
      <c r="C1849" s="5"/>
      <c r="D1849" s="5"/>
    </row>
    <row r="1850" spans="2:5" x14ac:dyDescent="0.25">
      <c r="B1850" s="215" t="s">
        <v>121</v>
      </c>
      <c r="C1850" s="216" t="s">
        <v>670</v>
      </c>
      <c r="D1850" s="5"/>
      <c r="E1850" s="12"/>
    </row>
    <row r="1851" spans="2:5" x14ac:dyDescent="0.25">
      <c r="B1851" s="447" t="s">
        <v>23</v>
      </c>
      <c r="C1851" s="448" t="s">
        <v>117</v>
      </c>
      <c r="D1851" s="449" t="s">
        <v>26</v>
      </c>
    </row>
    <row r="1852" spans="2:5" x14ac:dyDescent="0.25">
      <c r="B1852" s="220" t="s">
        <v>232</v>
      </c>
      <c r="C1852" s="5">
        <v>10</v>
      </c>
      <c r="D1852" s="151"/>
    </row>
    <row r="1853" spans="2:5" x14ac:dyDescent="0.25">
      <c r="B1853" s="220">
        <v>2</v>
      </c>
      <c r="C1853" s="5">
        <v>0</v>
      </c>
      <c r="D1853" s="151"/>
    </row>
    <row r="1854" spans="2:5" x14ac:dyDescent="0.25">
      <c r="B1854" s="220">
        <v>4</v>
      </c>
      <c r="C1854" s="5">
        <v>0</v>
      </c>
      <c r="D1854" s="151"/>
    </row>
    <row r="1855" spans="2:5" x14ac:dyDescent="0.25">
      <c r="B1855" s="220">
        <v>8</v>
      </c>
      <c r="C1855" s="5">
        <v>0</v>
      </c>
      <c r="D1855" s="151"/>
    </row>
    <row r="1856" spans="2:5" x14ac:dyDescent="0.25">
      <c r="B1856" s="221" t="s">
        <v>61</v>
      </c>
      <c r="C1856" s="222">
        <v>0</v>
      </c>
      <c r="D1856" s="162"/>
    </row>
    <row r="1857" spans="2:6" x14ac:dyDescent="0.25">
      <c r="B1857" s="230"/>
      <c r="C1857" s="5"/>
      <c r="D1857" s="5"/>
    </row>
    <row r="1858" spans="2:6" x14ac:dyDescent="0.25">
      <c r="B1858" s="215" t="s">
        <v>324</v>
      </c>
      <c r="C1858" s="216" t="s">
        <v>130</v>
      </c>
      <c r="D1858" s="5"/>
    </row>
    <row r="1859" spans="2:6" x14ac:dyDescent="0.25">
      <c r="B1859" s="447" t="s">
        <v>23</v>
      </c>
      <c r="C1859" s="448" t="s">
        <v>117</v>
      </c>
      <c r="D1859" s="449" t="s">
        <v>26</v>
      </c>
    </row>
    <row r="1860" spans="2:6" x14ac:dyDescent="0.25">
      <c r="B1860" s="220" t="s">
        <v>178</v>
      </c>
      <c r="C1860" s="5">
        <v>0</v>
      </c>
      <c r="D1860" s="151"/>
    </row>
    <row r="1861" spans="2:6" x14ac:dyDescent="0.25">
      <c r="B1861" s="220">
        <v>0.03</v>
      </c>
      <c r="C1861" s="5">
        <v>7</v>
      </c>
      <c r="D1861" s="151"/>
    </row>
    <row r="1862" spans="2:6" x14ac:dyDescent="0.25">
      <c r="B1862" s="220">
        <v>0.06</v>
      </c>
      <c r="C1862" s="5">
        <v>3</v>
      </c>
      <c r="D1862" s="151"/>
    </row>
    <row r="1863" spans="2:6" x14ac:dyDescent="0.25">
      <c r="B1863" s="220">
        <v>0.12</v>
      </c>
      <c r="C1863" s="5">
        <v>0</v>
      </c>
      <c r="D1863" s="151"/>
    </row>
    <row r="1864" spans="2:6" x14ac:dyDescent="0.25">
      <c r="B1864" s="221" t="s">
        <v>179</v>
      </c>
      <c r="C1864" s="222">
        <v>0</v>
      </c>
      <c r="D1864" s="162"/>
    </row>
    <row r="1865" spans="2:6" x14ac:dyDescent="0.25">
      <c r="B1865" s="230"/>
      <c r="C1865" s="5"/>
      <c r="D1865" s="5"/>
    </row>
    <row r="1866" spans="2:6" x14ac:dyDescent="0.25">
      <c r="B1866" s="215" t="s">
        <v>287</v>
      </c>
      <c r="C1866" s="216" t="s">
        <v>130</v>
      </c>
      <c r="D1866" s="5"/>
      <c r="E1866" s="12"/>
      <c r="F1866" s="231"/>
    </row>
    <row r="1867" spans="2:6" x14ac:dyDescent="0.25">
      <c r="B1867" s="447" t="s">
        <v>23</v>
      </c>
      <c r="C1867" s="448" t="s">
        <v>117</v>
      </c>
      <c r="D1867" s="449" t="s">
        <v>26</v>
      </c>
    </row>
    <row r="1868" spans="2:6" x14ac:dyDescent="0.25">
      <c r="B1868" s="220" t="s">
        <v>82</v>
      </c>
      <c r="C1868" s="5">
        <v>10</v>
      </c>
      <c r="D1868" s="151"/>
    </row>
    <row r="1869" spans="2:6" x14ac:dyDescent="0.25">
      <c r="B1869" s="220">
        <v>2</v>
      </c>
      <c r="C1869" s="5">
        <v>0</v>
      </c>
      <c r="D1869" s="151"/>
    </row>
    <row r="1870" spans="2:6" x14ac:dyDescent="0.25">
      <c r="B1870" s="220">
        <v>4</v>
      </c>
      <c r="C1870" s="5">
        <v>0</v>
      </c>
      <c r="D1870" s="151"/>
    </row>
    <row r="1871" spans="2:6" x14ac:dyDescent="0.25">
      <c r="B1871" s="220">
        <v>8</v>
      </c>
      <c r="C1871" s="5">
        <v>0</v>
      </c>
      <c r="D1871" s="151"/>
    </row>
    <row r="1872" spans="2:6" x14ac:dyDescent="0.25">
      <c r="B1872" s="220">
        <v>16</v>
      </c>
      <c r="C1872" s="5">
        <v>0</v>
      </c>
      <c r="D1872" s="151"/>
    </row>
    <row r="1873" spans="2:11" x14ac:dyDescent="0.25">
      <c r="B1873" s="220">
        <v>32</v>
      </c>
      <c r="C1873" s="5">
        <v>0</v>
      </c>
      <c r="D1873" s="151"/>
    </row>
    <row r="1874" spans="2:11" x14ac:dyDescent="0.25">
      <c r="B1874" s="221" t="s">
        <v>101</v>
      </c>
      <c r="C1874" s="222">
        <v>0</v>
      </c>
      <c r="D1874" s="162"/>
    </row>
    <row r="1875" spans="2:11" x14ac:dyDescent="0.25">
      <c r="B1875" s="230"/>
      <c r="C1875" s="5"/>
      <c r="D1875" s="5"/>
    </row>
    <row r="1876" spans="2:11" x14ac:dyDescent="0.25">
      <c r="B1876" s="215" t="s">
        <v>325</v>
      </c>
      <c r="C1876" s="216" t="s">
        <v>671</v>
      </c>
      <c r="D1876" s="5"/>
      <c r="K1876" s="12"/>
    </row>
    <row r="1877" spans="2:11" x14ac:dyDescent="0.25">
      <c r="B1877" s="447" t="s">
        <v>23</v>
      </c>
      <c r="C1877" s="448" t="s">
        <v>117</v>
      </c>
      <c r="D1877" s="449" t="s">
        <v>26</v>
      </c>
    </row>
    <row r="1878" spans="2:11" x14ac:dyDescent="0.25">
      <c r="B1878" s="475" t="s">
        <v>30</v>
      </c>
      <c r="C1878" s="5">
        <v>0</v>
      </c>
      <c r="D1878" s="151"/>
    </row>
    <row r="1879" spans="2:11" x14ac:dyDescent="0.25">
      <c r="B1879" s="220">
        <v>0.5</v>
      </c>
      <c r="C1879" s="5">
        <v>0</v>
      </c>
      <c r="D1879" s="151"/>
    </row>
    <row r="1880" spans="2:11" x14ac:dyDescent="0.25">
      <c r="B1880" s="475">
        <v>1</v>
      </c>
      <c r="C1880" s="5">
        <v>0</v>
      </c>
      <c r="D1880" s="151"/>
    </row>
    <row r="1881" spans="2:11" x14ac:dyDescent="0.25">
      <c r="B1881" s="220">
        <v>2</v>
      </c>
      <c r="C1881" s="5">
        <v>0</v>
      </c>
      <c r="D1881" s="151"/>
    </row>
    <row r="1882" spans="2:11" x14ac:dyDescent="0.25">
      <c r="B1882" s="220">
        <v>4</v>
      </c>
      <c r="C1882" s="5">
        <v>9</v>
      </c>
      <c r="D1882" s="151"/>
    </row>
    <row r="1883" spans="2:11" x14ac:dyDescent="0.25">
      <c r="B1883" s="221" t="s">
        <v>33</v>
      </c>
      <c r="C1883" s="222">
        <v>1</v>
      </c>
      <c r="D1883" s="162"/>
    </row>
    <row r="1884" spans="2:11" x14ac:dyDescent="0.25">
      <c r="B1884" s="230"/>
      <c r="C1884" s="5"/>
      <c r="D1884" s="5"/>
    </row>
    <row r="1885" spans="2:11" x14ac:dyDescent="0.25">
      <c r="B1885" s="215" t="s">
        <v>672</v>
      </c>
      <c r="C1885" s="216" t="s">
        <v>671</v>
      </c>
      <c r="D1885" s="5"/>
    </row>
    <row r="1886" spans="2:11" x14ac:dyDescent="0.25">
      <c r="B1886" s="447" t="s">
        <v>23</v>
      </c>
      <c r="C1886" s="448" t="s">
        <v>117</v>
      </c>
      <c r="D1886" s="449" t="s">
        <v>26</v>
      </c>
    </row>
    <row r="1887" spans="2:11" x14ac:dyDescent="0.25">
      <c r="B1887" s="220" t="s">
        <v>46</v>
      </c>
      <c r="C1887" s="5">
        <v>0</v>
      </c>
      <c r="D1887" s="151"/>
    </row>
    <row r="1888" spans="2:11" x14ac:dyDescent="0.25">
      <c r="B1888" s="475">
        <v>1</v>
      </c>
      <c r="C1888" s="5">
        <v>0</v>
      </c>
      <c r="D1888" s="151"/>
    </row>
    <row r="1889" spans="2:9" x14ac:dyDescent="0.25">
      <c r="B1889" s="220">
        <v>2</v>
      </c>
      <c r="C1889" s="5">
        <v>0</v>
      </c>
      <c r="D1889" s="151"/>
    </row>
    <row r="1890" spans="2:9" x14ac:dyDescent="0.25">
      <c r="B1890" s="220">
        <v>4</v>
      </c>
      <c r="C1890" s="5">
        <v>0</v>
      </c>
      <c r="D1890" s="151"/>
    </row>
    <row r="1891" spans="2:9" x14ac:dyDescent="0.25">
      <c r="B1891" s="221" t="s">
        <v>33</v>
      </c>
      <c r="C1891" s="222">
        <v>10</v>
      </c>
      <c r="D1891" s="162"/>
      <c r="E1891" s="12"/>
      <c r="F1891" s="12"/>
      <c r="G1891" s="12"/>
      <c r="H1891" s="12"/>
      <c r="I1891" s="12"/>
    </row>
    <row r="1892" spans="2:9" x14ac:dyDescent="0.25">
      <c r="B1892" s="230"/>
      <c r="C1892" s="5"/>
      <c r="D1892" s="5"/>
    </row>
    <row r="1893" spans="2:9" x14ac:dyDescent="0.25">
      <c r="B1893" s="215" t="s">
        <v>274</v>
      </c>
      <c r="C1893" s="216" t="s">
        <v>671</v>
      </c>
      <c r="D1893" s="5"/>
    </row>
    <row r="1894" spans="2:9" x14ac:dyDescent="0.25">
      <c r="B1894" s="447" t="s">
        <v>23</v>
      </c>
      <c r="C1894" s="448" t="s">
        <v>117</v>
      </c>
      <c r="D1894" s="449" t="s">
        <v>26</v>
      </c>
    </row>
    <row r="1895" spans="2:9" x14ac:dyDescent="0.25">
      <c r="B1895" s="220" t="s">
        <v>39</v>
      </c>
      <c r="C1895" s="5">
        <v>0</v>
      </c>
      <c r="D1895" s="151"/>
    </row>
    <row r="1896" spans="2:9" x14ac:dyDescent="0.25">
      <c r="B1896" s="220">
        <v>0.25</v>
      </c>
      <c r="C1896" s="5">
        <v>0</v>
      </c>
      <c r="D1896" s="151"/>
    </row>
    <row r="1897" spans="2:9" x14ac:dyDescent="0.25">
      <c r="B1897" s="220">
        <v>0.5</v>
      </c>
      <c r="C1897" s="5">
        <v>0</v>
      </c>
      <c r="D1897" s="151"/>
    </row>
    <row r="1898" spans="2:9" x14ac:dyDescent="0.25">
      <c r="B1898" s="220">
        <v>1</v>
      </c>
      <c r="C1898" s="5">
        <v>3</v>
      </c>
      <c r="D1898" s="151"/>
    </row>
    <row r="1899" spans="2:9" x14ac:dyDescent="0.25">
      <c r="B1899" s="221" t="s">
        <v>42</v>
      </c>
      <c r="C1899" s="222">
        <v>7</v>
      </c>
      <c r="D1899" s="162"/>
    </row>
    <row r="1900" spans="2:9" x14ac:dyDescent="0.25">
      <c r="B1900" s="230"/>
      <c r="C1900" s="5"/>
      <c r="D1900" s="5"/>
    </row>
    <row r="1901" spans="2:9" x14ac:dyDescent="0.25">
      <c r="B1901" s="215" t="s">
        <v>113</v>
      </c>
      <c r="C1901" s="216" t="s">
        <v>673</v>
      </c>
      <c r="D1901" s="5"/>
    </row>
    <row r="1902" spans="2:9" x14ac:dyDescent="0.25">
      <c r="B1902" s="447" t="s">
        <v>23</v>
      </c>
      <c r="C1902" s="448" t="s">
        <v>117</v>
      </c>
      <c r="D1902" s="449" t="s">
        <v>26</v>
      </c>
    </row>
    <row r="1903" spans="2:9" x14ac:dyDescent="0.25">
      <c r="B1903" s="220" t="s">
        <v>223</v>
      </c>
      <c r="C1903" s="5">
        <v>0</v>
      </c>
      <c r="D1903" s="151"/>
    </row>
    <row r="1904" spans="2:9" x14ac:dyDescent="0.25">
      <c r="B1904" s="220">
        <v>0.12</v>
      </c>
      <c r="C1904" s="5">
        <v>0</v>
      </c>
      <c r="D1904" s="151"/>
    </row>
    <row r="1905" spans="2:15" x14ac:dyDescent="0.25">
      <c r="B1905" s="220">
        <v>0.25</v>
      </c>
      <c r="C1905" s="5">
        <v>0</v>
      </c>
      <c r="D1905" s="151"/>
    </row>
    <row r="1906" spans="2:15" x14ac:dyDescent="0.25">
      <c r="B1906" s="220">
        <v>0.5</v>
      </c>
      <c r="C1906" s="5">
        <v>0</v>
      </c>
      <c r="D1906" s="151"/>
    </row>
    <row r="1907" spans="2:15" x14ac:dyDescent="0.25">
      <c r="B1907" s="220">
        <v>1</v>
      </c>
      <c r="C1907" s="5">
        <v>0</v>
      </c>
      <c r="D1907" s="151"/>
    </row>
    <row r="1908" spans="2:15" x14ac:dyDescent="0.25">
      <c r="B1908" s="220">
        <v>2</v>
      </c>
      <c r="C1908" s="5">
        <v>0</v>
      </c>
      <c r="D1908" s="151"/>
    </row>
    <row r="1909" spans="2:15" x14ac:dyDescent="0.25">
      <c r="B1909" s="221" t="s">
        <v>124</v>
      </c>
      <c r="C1909" s="222">
        <v>10</v>
      </c>
      <c r="D1909" s="162"/>
    </row>
    <row r="1910" spans="2:15" x14ac:dyDescent="0.25">
      <c r="B1910" s="78"/>
    </row>
    <row r="1913" spans="2:15" s="7" customFormat="1" ht="18.75" x14ac:dyDescent="0.3">
      <c r="B1913" s="8" t="s">
        <v>674</v>
      </c>
      <c r="C1913" s="19"/>
    </row>
    <row r="1915" spans="2:15" x14ac:dyDescent="0.25">
      <c r="B1915" s="1"/>
    </row>
    <row r="1916" spans="2:15" x14ac:dyDescent="0.25">
      <c r="B1916" s="1" t="s">
        <v>675</v>
      </c>
      <c r="C1916" s="12"/>
      <c r="D1916" s="12"/>
      <c r="E1916" s="12"/>
      <c r="F1916" s="12"/>
      <c r="G1916" s="12"/>
      <c r="I1916" s="12"/>
      <c r="J1916" s="12"/>
      <c r="K1916" s="12"/>
      <c r="L1916" s="12"/>
      <c r="M1916" s="12"/>
    </row>
    <row r="1917" spans="2:15" x14ac:dyDescent="0.25">
      <c r="B1917" s="1" t="s">
        <v>676</v>
      </c>
      <c r="C1917" s="1" t="s">
        <v>15</v>
      </c>
      <c r="D1917" s="1" t="s">
        <v>143</v>
      </c>
      <c r="E1917" s="1" t="s">
        <v>236</v>
      </c>
      <c r="F1917" s="1" t="s">
        <v>312</v>
      </c>
      <c r="G1917" s="1" t="s">
        <v>326</v>
      </c>
      <c r="H1917" s="565" t="s">
        <v>677</v>
      </c>
      <c r="I1917" s="1" t="s">
        <v>375</v>
      </c>
      <c r="J1917" s="1" t="s">
        <v>561</v>
      </c>
      <c r="K1917" s="1" t="s">
        <v>610</v>
      </c>
      <c r="L1917" s="1" t="s">
        <v>634</v>
      </c>
      <c r="M1917" s="1" t="s">
        <v>660</v>
      </c>
      <c r="N1917" s="565" t="s">
        <v>678</v>
      </c>
      <c r="O1917" s="566" t="s">
        <v>679</v>
      </c>
    </row>
    <row r="1918" spans="2:15" x14ac:dyDescent="0.25">
      <c r="B1918" s="565" t="s">
        <v>680</v>
      </c>
      <c r="C1918" s="567">
        <v>1625</v>
      </c>
      <c r="D1918" s="567">
        <v>665</v>
      </c>
      <c r="E1918" s="567">
        <v>192</v>
      </c>
      <c r="F1918" s="567">
        <v>20</v>
      </c>
      <c r="G1918" s="567">
        <v>24</v>
      </c>
      <c r="H1918" s="567">
        <f>SUM(C1918:G1918)</f>
        <v>2526</v>
      </c>
      <c r="I1918" s="567">
        <v>3488</v>
      </c>
      <c r="J1918" s="567">
        <v>189</v>
      </c>
      <c r="K1918" s="567">
        <v>2</v>
      </c>
      <c r="L1918" s="567">
        <v>182</v>
      </c>
      <c r="M1918" s="567">
        <v>100</v>
      </c>
      <c r="N1918" s="567">
        <f>SUM(I1918:M1918)</f>
        <v>3961</v>
      </c>
      <c r="O1918" s="568">
        <f>SUM(H1918,N1918)</f>
        <v>6487</v>
      </c>
    </row>
    <row r="1919" spans="2:15" x14ac:dyDescent="0.25">
      <c r="B1919" s="1" t="s">
        <v>681</v>
      </c>
      <c r="C1919">
        <v>1549</v>
      </c>
      <c r="D1919">
        <v>616</v>
      </c>
      <c r="E1919">
        <v>171</v>
      </c>
      <c r="F1919">
        <v>20</v>
      </c>
      <c r="G1919">
        <v>15</v>
      </c>
      <c r="H1919" s="567">
        <f>SUM(C1919:G1919)</f>
        <v>2371</v>
      </c>
      <c r="I1919">
        <v>3093</v>
      </c>
      <c r="J1919">
        <v>165</v>
      </c>
      <c r="K1919">
        <v>2</v>
      </c>
      <c r="L1919">
        <v>170</v>
      </c>
      <c r="M1919">
        <v>100</v>
      </c>
      <c r="N1919" s="567">
        <f>SUM(I1919:M1919)</f>
        <v>3530</v>
      </c>
      <c r="O1919" s="568">
        <f>SUM(H1919,N1919)</f>
        <v>5901</v>
      </c>
    </row>
    <row r="1920" spans="2:15" x14ac:dyDescent="0.25">
      <c r="B1920" s="1" t="s">
        <v>682</v>
      </c>
      <c r="C1920" s="569">
        <f>C1919/C1918*100</f>
        <v>95.323076923076925</v>
      </c>
      <c r="D1920" s="569">
        <f>D1919/D1918*100</f>
        <v>92.631578947368425</v>
      </c>
      <c r="E1920" s="569">
        <f>E1919/E1918*100</f>
        <v>89.0625</v>
      </c>
      <c r="F1920" s="569">
        <f>F1919/F1918*100</f>
        <v>100</v>
      </c>
      <c r="G1920" s="569">
        <f t="shared" ref="G1920:O1920" si="0">G1919/G1918*100</f>
        <v>62.5</v>
      </c>
      <c r="H1920" s="570">
        <f t="shared" si="0"/>
        <v>93.86381631037213</v>
      </c>
      <c r="I1920" s="569">
        <f t="shared" si="0"/>
        <v>88.675458715596335</v>
      </c>
      <c r="J1920" s="569">
        <f t="shared" si="0"/>
        <v>87.301587301587304</v>
      </c>
      <c r="K1920" s="569">
        <f t="shared" si="0"/>
        <v>100</v>
      </c>
      <c r="L1920" s="569">
        <f t="shared" si="0"/>
        <v>93.406593406593402</v>
      </c>
      <c r="M1920" s="569">
        <f t="shared" si="0"/>
        <v>100</v>
      </c>
      <c r="N1920" s="570">
        <f t="shared" si="0"/>
        <v>89.118909366321645</v>
      </c>
      <c r="O1920" s="571">
        <f t="shared" si="0"/>
        <v>90.966548481578542</v>
      </c>
    </row>
    <row r="1921" spans="2:15" x14ac:dyDescent="0.25">
      <c r="B1921" s="1" t="s">
        <v>683</v>
      </c>
      <c r="C1921">
        <v>76</v>
      </c>
      <c r="D1921">
        <v>49</v>
      </c>
      <c r="E1921">
        <v>21</v>
      </c>
      <c r="F1921">
        <v>0</v>
      </c>
      <c r="G1921">
        <v>9</v>
      </c>
      <c r="H1921" s="567">
        <f>SUM(C1921:G1921)</f>
        <v>155</v>
      </c>
      <c r="I1921">
        <v>395</v>
      </c>
      <c r="J1921">
        <v>24</v>
      </c>
      <c r="K1921">
        <v>0</v>
      </c>
      <c r="L1921">
        <v>12</v>
      </c>
      <c r="M1921">
        <v>0</v>
      </c>
      <c r="N1921" s="567">
        <f>SUM(I1921:M1921)</f>
        <v>431</v>
      </c>
      <c r="O1921" s="568">
        <f>SUM(H1921,N1921)</f>
        <v>586</v>
      </c>
    </row>
    <row r="1922" spans="2:15" x14ac:dyDescent="0.25">
      <c r="B1922" s="1" t="s">
        <v>684</v>
      </c>
      <c r="C1922" s="569">
        <f>C1921/C1918*100</f>
        <v>4.6769230769230772</v>
      </c>
      <c r="D1922" s="569">
        <f>D1921/D1918*100</f>
        <v>7.3684210526315779</v>
      </c>
      <c r="E1922" s="569">
        <f>E1921/E1918*100</f>
        <v>10.9375</v>
      </c>
      <c r="F1922" s="569">
        <f>F1921/F1918*100</f>
        <v>0</v>
      </c>
      <c r="G1922" s="569">
        <f t="shared" ref="G1922:O1922" si="1">G1921/G1918*100</f>
        <v>37.5</v>
      </c>
      <c r="H1922" s="570">
        <f t="shared" si="1"/>
        <v>6.1361836896278703</v>
      </c>
      <c r="I1922" s="569">
        <f t="shared" si="1"/>
        <v>11.324541284403669</v>
      </c>
      <c r="J1922" s="569">
        <f t="shared" si="1"/>
        <v>12.698412698412698</v>
      </c>
      <c r="K1922" s="569">
        <f t="shared" si="1"/>
        <v>0</v>
      </c>
      <c r="L1922" s="569">
        <f t="shared" si="1"/>
        <v>6.593406593406594</v>
      </c>
      <c r="M1922" s="569">
        <f t="shared" si="1"/>
        <v>0</v>
      </c>
      <c r="N1922" s="570">
        <f t="shared" si="1"/>
        <v>10.881090633678363</v>
      </c>
      <c r="O1922" s="571">
        <f t="shared" si="1"/>
        <v>9.0334515184214581</v>
      </c>
    </row>
    <row r="1923" spans="2:15" x14ac:dyDescent="0.25">
      <c r="B1923" s="565" t="s">
        <v>685</v>
      </c>
      <c r="C1923" s="567">
        <v>1226</v>
      </c>
      <c r="D1923" s="567">
        <v>570</v>
      </c>
      <c r="E1923" s="567">
        <v>137</v>
      </c>
      <c r="F1923" s="567">
        <v>15</v>
      </c>
      <c r="G1923" s="567">
        <v>21</v>
      </c>
      <c r="H1923" s="567">
        <f>SUM(C1923:G1923)</f>
        <v>1969</v>
      </c>
      <c r="I1923" s="567">
        <v>2839</v>
      </c>
      <c r="J1923" s="567">
        <v>189</v>
      </c>
      <c r="K1923" s="567">
        <v>2</v>
      </c>
      <c r="L1923" s="567">
        <v>140</v>
      </c>
      <c r="M1923" s="567">
        <v>90</v>
      </c>
      <c r="N1923" s="567">
        <f>SUM(I1923:M1923)</f>
        <v>3260</v>
      </c>
      <c r="O1923" s="568">
        <f>SUM(H1923,N1923)</f>
        <v>5229</v>
      </c>
    </row>
    <row r="1924" spans="2:15" x14ac:dyDescent="0.25">
      <c r="B1924" s="1" t="s">
        <v>686</v>
      </c>
      <c r="C1924">
        <v>1168</v>
      </c>
      <c r="D1924">
        <v>522</v>
      </c>
      <c r="E1924">
        <v>127</v>
      </c>
      <c r="F1924">
        <v>15</v>
      </c>
      <c r="G1924">
        <v>13</v>
      </c>
      <c r="H1924" s="567">
        <f>SUM(C1924:G1924)</f>
        <v>1845</v>
      </c>
      <c r="I1924">
        <v>2585</v>
      </c>
      <c r="J1924">
        <v>165</v>
      </c>
      <c r="K1924">
        <v>2</v>
      </c>
      <c r="L1924">
        <v>133</v>
      </c>
      <c r="M1924">
        <v>90</v>
      </c>
      <c r="N1924" s="567">
        <f>SUM(I1924:M1924)</f>
        <v>2975</v>
      </c>
      <c r="O1924" s="568">
        <f>SUM(H1924,N1924)</f>
        <v>4820</v>
      </c>
    </row>
    <row r="1925" spans="2:15" x14ac:dyDescent="0.25">
      <c r="B1925" s="1" t="s">
        <v>687</v>
      </c>
      <c r="C1925">
        <v>58</v>
      </c>
      <c r="D1925">
        <v>48</v>
      </c>
      <c r="E1925">
        <v>10</v>
      </c>
      <c r="F1925">
        <v>0</v>
      </c>
      <c r="G1925">
        <v>8</v>
      </c>
      <c r="H1925" s="567">
        <f>SUM(C1925:G1925)</f>
        <v>124</v>
      </c>
      <c r="I1925">
        <v>254</v>
      </c>
      <c r="J1925">
        <v>24</v>
      </c>
      <c r="K1925">
        <v>0</v>
      </c>
      <c r="L1925">
        <v>7</v>
      </c>
      <c r="M1925">
        <v>0</v>
      </c>
      <c r="N1925" s="567">
        <f>SUM(I1925:M1925)</f>
        <v>285</v>
      </c>
      <c r="O1925" s="568">
        <f>SUM(H1925,N1925)</f>
        <v>409</v>
      </c>
    </row>
    <row r="1926" spans="2:15" ht="15.75" customHeight="1" x14ac:dyDescent="0.25">
      <c r="B1926" s="1" t="s">
        <v>688</v>
      </c>
      <c r="C1926">
        <v>13</v>
      </c>
      <c r="D1926">
        <v>9</v>
      </c>
      <c r="E1926">
        <v>1</v>
      </c>
      <c r="F1926">
        <v>0</v>
      </c>
      <c r="G1926">
        <v>6</v>
      </c>
      <c r="H1926" s="567">
        <f>SUM(C1926:G1926)</f>
        <v>29</v>
      </c>
      <c r="I1926">
        <v>56</v>
      </c>
      <c r="J1926">
        <v>21</v>
      </c>
      <c r="K1926">
        <v>0</v>
      </c>
      <c r="L1926">
        <v>2</v>
      </c>
      <c r="M1926">
        <v>0</v>
      </c>
      <c r="N1926" s="567">
        <f>SUM(I1926:M1926)</f>
        <v>79</v>
      </c>
      <c r="O1926" s="568">
        <f>SUM(H1926,N1926)</f>
        <v>108</v>
      </c>
    </row>
    <row r="1927" spans="2:15" x14ac:dyDescent="0.25">
      <c r="B1927" s="1" t="s">
        <v>689</v>
      </c>
      <c r="C1927">
        <v>7</v>
      </c>
      <c r="D1927">
        <v>38</v>
      </c>
      <c r="E1927">
        <v>1</v>
      </c>
      <c r="F1927">
        <v>0</v>
      </c>
      <c r="G1927">
        <v>0</v>
      </c>
      <c r="H1927" s="567">
        <f>SUM(C1927:G1927)</f>
        <v>46</v>
      </c>
      <c r="I1927">
        <v>217</v>
      </c>
      <c r="J1927">
        <v>63</v>
      </c>
      <c r="K1927">
        <v>0</v>
      </c>
      <c r="L1927">
        <v>0</v>
      </c>
      <c r="M1927">
        <v>0</v>
      </c>
      <c r="N1927" s="567">
        <f>SUM(I1927:M1927)</f>
        <v>280</v>
      </c>
      <c r="O1927" s="568">
        <f>SUM(H1927,N1927)</f>
        <v>326</v>
      </c>
    </row>
    <row r="1928" spans="2:15" x14ac:dyDescent="0.25">
      <c r="B1928" s="1" t="s">
        <v>690</v>
      </c>
      <c r="C1928">
        <f>SUM(C1927,C1926)</f>
        <v>20</v>
      </c>
      <c r="D1928">
        <f>SUM(D1927,D1926)</f>
        <v>47</v>
      </c>
      <c r="E1928">
        <f>SUM(E1927,E1926)</f>
        <v>2</v>
      </c>
      <c r="F1928">
        <f>SUM(F1927,F1926)</f>
        <v>0</v>
      </c>
      <c r="G1928">
        <f>SUM(G1927,G1926)</f>
        <v>6</v>
      </c>
      <c r="H1928" s="567">
        <f>SUM(H1927,H1926)</f>
        <v>75</v>
      </c>
      <c r="I1928">
        <f>SUM(I1927,I1926)</f>
        <v>273</v>
      </c>
      <c r="J1928">
        <f>SUM(J1927,J1926)</f>
        <v>84</v>
      </c>
      <c r="K1928">
        <f>SUM(K1927,K1926)</f>
        <v>0</v>
      </c>
      <c r="L1928">
        <f>SUM(L1927,L1926)</f>
        <v>2</v>
      </c>
      <c r="M1928">
        <f>SUM(M1927,M1926)</f>
        <v>0</v>
      </c>
      <c r="N1928" s="567">
        <f>SUM(N1927,N1926)</f>
        <v>359</v>
      </c>
      <c r="O1928" s="568">
        <f>SUM(H1928,N1928)</f>
        <v>434</v>
      </c>
    </row>
    <row r="1929" spans="2:15" x14ac:dyDescent="0.25">
      <c r="B1929" s="1" t="s">
        <v>691</v>
      </c>
      <c r="C1929" s="569">
        <f>C1928/C1923*100</f>
        <v>1.6313213703099509</v>
      </c>
      <c r="D1929" s="569">
        <f>D1928/D1923*100</f>
        <v>8.2456140350877192</v>
      </c>
      <c r="E1929" s="569">
        <f>E1928/E1923*100</f>
        <v>1.4598540145985401</v>
      </c>
      <c r="F1929" s="569">
        <f>F1928/F1923*100</f>
        <v>0</v>
      </c>
      <c r="G1929" s="569">
        <f>G1928/G1923*100</f>
        <v>28.571428571428569</v>
      </c>
      <c r="H1929" s="570">
        <f>H1928/H1923*100</f>
        <v>3.8090401218892835</v>
      </c>
      <c r="I1929" s="569">
        <f>I1928/I1923*100</f>
        <v>9.6160619936597396</v>
      </c>
      <c r="J1929" s="569">
        <f>J1928/J1923*100</f>
        <v>44.444444444444443</v>
      </c>
      <c r="K1929" s="569">
        <f>K1928/K1923*100</f>
        <v>0</v>
      </c>
      <c r="L1929" s="569">
        <f>L1928/L1923*100</f>
        <v>1.4285714285714286</v>
      </c>
      <c r="M1929" s="569">
        <f>M1928/M1923*100</f>
        <v>0</v>
      </c>
      <c r="N1929" s="570">
        <f>N1928/N1923*100</f>
        <v>11.012269938650308</v>
      </c>
      <c r="O1929" s="571">
        <f>O1928/O1923*100</f>
        <v>8.2998661311914326</v>
      </c>
    </row>
    <row r="1930" spans="2:15" x14ac:dyDescent="0.25">
      <c r="B1930" s="1" t="s">
        <v>692</v>
      </c>
      <c r="C1930">
        <f>C1923-C1926-C1927</f>
        <v>1206</v>
      </c>
      <c r="D1930">
        <f>D1923-D1926-D1927</f>
        <v>523</v>
      </c>
      <c r="E1930">
        <f>E1923-E1926-E1927</f>
        <v>135</v>
      </c>
      <c r="F1930">
        <f>F1923-F1926-F1927</f>
        <v>15</v>
      </c>
      <c r="G1930">
        <f>G1923-G1926-G1927</f>
        <v>15</v>
      </c>
      <c r="H1930" s="567">
        <f>H1923-H1926-H1927</f>
        <v>1894</v>
      </c>
      <c r="I1930">
        <f>I1923-I1926-I1927</f>
        <v>2566</v>
      </c>
      <c r="J1930">
        <f>J1923-J1926-J1927</f>
        <v>105</v>
      </c>
      <c r="K1930">
        <f>K1923-K1926-K1927</f>
        <v>2</v>
      </c>
      <c r="L1930">
        <f>L1923-L1926-L1927</f>
        <v>138</v>
      </c>
      <c r="M1930">
        <f>M1923-M1926-M1927</f>
        <v>90</v>
      </c>
      <c r="N1930" s="567">
        <f>N1923-N1926-N1927</f>
        <v>2901</v>
      </c>
      <c r="O1930" s="568">
        <f>SUM(H1930,N1930)</f>
        <v>4795</v>
      </c>
    </row>
    <row r="1931" spans="2:15" x14ac:dyDescent="0.25">
      <c r="B1931" s="1" t="s">
        <v>693</v>
      </c>
      <c r="C1931" s="569">
        <f>C1930/C1923*100</f>
        <v>98.368678629690052</v>
      </c>
      <c r="D1931" s="569">
        <f>D1930/D1923*100</f>
        <v>91.754385964912274</v>
      </c>
      <c r="E1931" s="569">
        <f>E1930/E1923*100</f>
        <v>98.540145985401466</v>
      </c>
      <c r="F1931" s="569">
        <f>F1930/F1923*100</f>
        <v>100</v>
      </c>
      <c r="G1931" s="569">
        <f>G1930/G1923*100</f>
        <v>71.428571428571431</v>
      </c>
      <c r="H1931" s="570">
        <f>H1930/H1923*100</f>
        <v>96.190959878110718</v>
      </c>
      <c r="I1931" s="569">
        <f>I1930/I1923*100</f>
        <v>90.383938006340259</v>
      </c>
      <c r="J1931" s="569">
        <f>J1930/J1923*100</f>
        <v>55.555555555555557</v>
      </c>
      <c r="K1931" s="569">
        <f>K1930/K1923*100</f>
        <v>100</v>
      </c>
      <c r="L1931" s="569">
        <f>L1930/L1923*100</f>
        <v>98.571428571428584</v>
      </c>
      <c r="M1931" s="569">
        <f>M1930/M1923*100</f>
        <v>100</v>
      </c>
      <c r="N1931" s="570">
        <f>N1930/N1923*100</f>
        <v>88.987730061349694</v>
      </c>
      <c r="O1931" s="571">
        <f>O1930/O1923*100</f>
        <v>91.700133868808564</v>
      </c>
    </row>
  </sheetData>
  <mergeCells count="796">
    <mergeCell ref="B1781:B1783"/>
    <mergeCell ref="G1781:G1783"/>
    <mergeCell ref="B1790:B1792"/>
    <mergeCell ref="G1790:G1792"/>
    <mergeCell ref="B1810:B1813"/>
    <mergeCell ref="B1763:B1765"/>
    <mergeCell ref="G1763:G1765"/>
    <mergeCell ref="B1772:B1774"/>
    <mergeCell ref="G1772:G1774"/>
    <mergeCell ref="B1779:B1780"/>
    <mergeCell ref="G1779:G1780"/>
    <mergeCell ref="B1737:B1738"/>
    <mergeCell ref="G1737:G1738"/>
    <mergeCell ref="B1743:B1746"/>
    <mergeCell ref="G1743:G1746"/>
    <mergeCell ref="B1753:B1756"/>
    <mergeCell ref="G1753:G1756"/>
    <mergeCell ref="G1712:G1715"/>
    <mergeCell ref="B1722:B1725"/>
    <mergeCell ref="G1722:G1725"/>
    <mergeCell ref="B1727:B1728"/>
    <mergeCell ref="G1727:G1728"/>
    <mergeCell ref="B1733:B1736"/>
    <mergeCell ref="G1733:G1736"/>
    <mergeCell ref="B1617:B1618"/>
    <mergeCell ref="B1622:B1623"/>
    <mergeCell ref="B1625:B1627"/>
    <mergeCell ref="B1631:B1632"/>
    <mergeCell ref="B1633:B1639"/>
    <mergeCell ref="B1712:B1715"/>
    <mergeCell ref="B1588:B1589"/>
    <mergeCell ref="G1588:G1589"/>
    <mergeCell ref="B1594:B1597"/>
    <mergeCell ref="G1594:G1597"/>
    <mergeCell ref="B1598:B1599"/>
    <mergeCell ref="G1598:G1599"/>
    <mergeCell ref="B1574:B1576"/>
    <mergeCell ref="G1574:G1576"/>
    <mergeCell ref="B1577:B1578"/>
    <mergeCell ref="G1577:G1578"/>
    <mergeCell ref="B1583:B1586"/>
    <mergeCell ref="G1583:G1586"/>
    <mergeCell ref="B1554:B1556"/>
    <mergeCell ref="G1554:G1556"/>
    <mergeCell ref="B1557:B1558"/>
    <mergeCell ref="G1557:G1558"/>
    <mergeCell ref="B1563:B1568"/>
    <mergeCell ref="G1563:G1568"/>
    <mergeCell ref="B1525:B1528"/>
    <mergeCell ref="G1525:G1528"/>
    <mergeCell ref="B1534:B1537"/>
    <mergeCell ref="B1542:B1544"/>
    <mergeCell ref="G1542:G1544"/>
    <mergeCell ref="B1545:B1549"/>
    <mergeCell ref="G1545:G1549"/>
    <mergeCell ref="B1507:B1509"/>
    <mergeCell ref="G1507:G1509"/>
    <mergeCell ref="B1515:B1518"/>
    <mergeCell ref="G1515:G1518"/>
    <mergeCell ref="B1523:B1524"/>
    <mergeCell ref="G1523:G1524"/>
    <mergeCell ref="B1329:B1334"/>
    <mergeCell ref="G1329:G1334"/>
    <mergeCell ref="B1471:B1474"/>
    <mergeCell ref="G1471:G1474"/>
    <mergeCell ref="B1493:B1496"/>
    <mergeCell ref="B1503:B1506"/>
    <mergeCell ref="G1503:G1506"/>
    <mergeCell ref="B1314:B1315"/>
    <mergeCell ref="G1314:G1315"/>
    <mergeCell ref="B1316:B1318"/>
    <mergeCell ref="G1316:G1318"/>
    <mergeCell ref="B1323:B1328"/>
    <mergeCell ref="G1323:G1328"/>
    <mergeCell ref="B1296:B1297"/>
    <mergeCell ref="G1296:G1297"/>
    <mergeCell ref="B1298:B1299"/>
    <mergeCell ref="G1298:G1299"/>
    <mergeCell ref="B1306:B1309"/>
    <mergeCell ref="G1306:G1309"/>
    <mergeCell ref="B1272:B1274"/>
    <mergeCell ref="G1272:G1274"/>
    <mergeCell ref="B1287:B1289"/>
    <mergeCell ref="G1287:G1289"/>
    <mergeCell ref="B1290:B1291"/>
    <mergeCell ref="G1290:G1291"/>
    <mergeCell ref="B1259:B1262"/>
    <mergeCell ref="G1259:G1262"/>
    <mergeCell ref="B1263:B1265"/>
    <mergeCell ref="G1263:G1265"/>
    <mergeCell ref="B1270:B1271"/>
    <mergeCell ref="G1270:G1271"/>
    <mergeCell ref="K1227:L1227"/>
    <mergeCell ref="M1227:N1227"/>
    <mergeCell ref="O1227:P1227"/>
    <mergeCell ref="B1243:B1246"/>
    <mergeCell ref="G1243:G1246"/>
    <mergeCell ref="B1252:B1254"/>
    <mergeCell ref="G1252:G1254"/>
    <mergeCell ref="C1226:D1226"/>
    <mergeCell ref="E1226:F1226"/>
    <mergeCell ref="G1226:H1226"/>
    <mergeCell ref="I1226:J1226"/>
    <mergeCell ref="C1227:D1227"/>
    <mergeCell ref="E1227:F1227"/>
    <mergeCell ref="G1227:H1227"/>
    <mergeCell ref="I1227:J1227"/>
    <mergeCell ref="AB1219:AB1220"/>
    <mergeCell ref="AD1219:AD1220"/>
    <mergeCell ref="AI1219:AI1220"/>
    <mergeCell ref="AK1219:AK1220"/>
    <mergeCell ref="AP1219:AP1220"/>
    <mergeCell ref="AB1221:AB1223"/>
    <mergeCell ref="AD1221:AD1223"/>
    <mergeCell ref="AI1221:AI1223"/>
    <mergeCell ref="AK1221:AK1223"/>
    <mergeCell ref="AP1221:AP1223"/>
    <mergeCell ref="C1217:D1217"/>
    <mergeCell ref="E1217:F1217"/>
    <mergeCell ref="G1217:H1217"/>
    <mergeCell ref="I1217:J1217"/>
    <mergeCell ref="K1217:L1217"/>
    <mergeCell ref="M1217:N1217"/>
    <mergeCell ref="M1205:N1205"/>
    <mergeCell ref="C1216:D1216"/>
    <mergeCell ref="E1216:F1216"/>
    <mergeCell ref="G1216:H1216"/>
    <mergeCell ref="I1216:J1216"/>
    <mergeCell ref="K1216:L1216"/>
    <mergeCell ref="M1216:N1216"/>
    <mergeCell ref="C1204:D1204"/>
    <mergeCell ref="E1204:F1204"/>
    <mergeCell ref="G1204:H1204"/>
    <mergeCell ref="I1204:J1204"/>
    <mergeCell ref="K1204:L1204"/>
    <mergeCell ref="M1204:N1204"/>
    <mergeCell ref="G1196:H1196"/>
    <mergeCell ref="I1196:J1196"/>
    <mergeCell ref="K1196:L1196"/>
    <mergeCell ref="M1196:N1196"/>
    <mergeCell ref="Q1196:R1196"/>
    <mergeCell ref="G1197:H1197"/>
    <mergeCell ref="I1197:J1197"/>
    <mergeCell ref="K1197:L1197"/>
    <mergeCell ref="M1197:N1197"/>
    <mergeCell ref="Q1197:R1197"/>
    <mergeCell ref="O1185:P1185"/>
    <mergeCell ref="C1186:D1186"/>
    <mergeCell ref="E1186:F1186"/>
    <mergeCell ref="G1186:H1186"/>
    <mergeCell ref="I1186:J1186"/>
    <mergeCell ref="K1186:L1186"/>
    <mergeCell ref="M1186:N1186"/>
    <mergeCell ref="O1186:P1186"/>
    <mergeCell ref="C1185:D1185"/>
    <mergeCell ref="E1185:F1185"/>
    <mergeCell ref="G1185:H1185"/>
    <mergeCell ref="I1185:J1185"/>
    <mergeCell ref="K1185:L1185"/>
    <mergeCell ref="M1185:N1185"/>
    <mergeCell ref="C1176:D1176"/>
    <mergeCell ref="E1176:F1176"/>
    <mergeCell ref="G1176:H1176"/>
    <mergeCell ref="I1176:J1176"/>
    <mergeCell ref="K1176:L1176"/>
    <mergeCell ref="M1176:N1176"/>
    <mergeCell ref="C1175:D1175"/>
    <mergeCell ref="E1175:F1175"/>
    <mergeCell ref="G1175:H1175"/>
    <mergeCell ref="I1175:J1175"/>
    <mergeCell ref="K1175:L1175"/>
    <mergeCell ref="M1175:N1175"/>
    <mergeCell ref="C1166:D1166"/>
    <mergeCell ref="E1166:F1166"/>
    <mergeCell ref="G1166:H1166"/>
    <mergeCell ref="I1166:J1166"/>
    <mergeCell ref="K1166:L1166"/>
    <mergeCell ref="M1166:N1166"/>
    <mergeCell ref="C1165:D1165"/>
    <mergeCell ref="E1165:F1165"/>
    <mergeCell ref="G1165:H1165"/>
    <mergeCell ref="I1165:J1165"/>
    <mergeCell ref="K1165:L1165"/>
    <mergeCell ref="M1165:N1165"/>
    <mergeCell ref="C1156:D1156"/>
    <mergeCell ref="E1156:F1156"/>
    <mergeCell ref="G1156:H1156"/>
    <mergeCell ref="I1156:J1156"/>
    <mergeCell ref="K1156:L1156"/>
    <mergeCell ref="M1156:N1156"/>
    <mergeCell ref="AB1098:AB1104"/>
    <mergeCell ref="AK1098:AK1104"/>
    <mergeCell ref="AP1098:AP1104"/>
    <mergeCell ref="B1135:B1138"/>
    <mergeCell ref="B1144:B1145"/>
    <mergeCell ref="B1146:B1148"/>
    <mergeCell ref="AB1093:AB1097"/>
    <mergeCell ref="AK1093:AK1097"/>
    <mergeCell ref="AP1093:AP1097"/>
    <mergeCell ref="B1098:B1104"/>
    <mergeCell ref="G1098:G1104"/>
    <mergeCell ref="I1098:I1104"/>
    <mergeCell ref="N1098:N1104"/>
    <mergeCell ref="P1098:P1104"/>
    <mergeCell ref="U1098:U1104"/>
    <mergeCell ref="W1098:W1104"/>
    <mergeCell ref="AI1085:AI1088"/>
    <mergeCell ref="AK1085:AK1088"/>
    <mergeCell ref="AP1085:AP1088"/>
    <mergeCell ref="B1093:B1097"/>
    <mergeCell ref="G1093:G1097"/>
    <mergeCell ref="I1093:I1097"/>
    <mergeCell ref="N1093:N1097"/>
    <mergeCell ref="P1093:P1097"/>
    <mergeCell ref="U1093:U1097"/>
    <mergeCell ref="W1093:W1097"/>
    <mergeCell ref="AP1076:AP1079"/>
    <mergeCell ref="B1085:B1088"/>
    <mergeCell ref="G1085:G1088"/>
    <mergeCell ref="I1085:I1088"/>
    <mergeCell ref="N1085:N1088"/>
    <mergeCell ref="P1085:P1088"/>
    <mergeCell ref="U1085:U1088"/>
    <mergeCell ref="W1085:W1088"/>
    <mergeCell ref="AB1085:AB1088"/>
    <mergeCell ref="AD1085:AD1088"/>
    <mergeCell ref="U1076:U1079"/>
    <mergeCell ref="W1076:W1079"/>
    <mergeCell ref="AB1076:AB1079"/>
    <mergeCell ref="AD1076:AD1079"/>
    <mergeCell ref="AI1076:AI1079"/>
    <mergeCell ref="AK1076:AK1079"/>
    <mergeCell ref="AB1066:AB1068"/>
    <mergeCell ref="AD1066:AD1068"/>
    <mergeCell ref="AI1066:AI1068"/>
    <mergeCell ref="AK1066:AK1068"/>
    <mergeCell ref="AP1066:AP1068"/>
    <mergeCell ref="B1076:B1079"/>
    <mergeCell ref="G1076:G1079"/>
    <mergeCell ref="I1076:I1079"/>
    <mergeCell ref="N1076:N1079"/>
    <mergeCell ref="P1076:P1079"/>
    <mergeCell ref="AI1058:AI1061"/>
    <mergeCell ref="AK1058:AK1061"/>
    <mergeCell ref="AP1058:AP1061"/>
    <mergeCell ref="B1066:B1068"/>
    <mergeCell ref="G1066:G1068"/>
    <mergeCell ref="I1066:I1068"/>
    <mergeCell ref="N1066:N1068"/>
    <mergeCell ref="P1066:P1068"/>
    <mergeCell ref="U1066:U1068"/>
    <mergeCell ref="W1066:W1068"/>
    <mergeCell ref="AP1050:AP1051"/>
    <mergeCell ref="B1058:B1061"/>
    <mergeCell ref="G1058:G1061"/>
    <mergeCell ref="I1058:I1061"/>
    <mergeCell ref="N1058:N1061"/>
    <mergeCell ref="P1058:P1061"/>
    <mergeCell ref="U1058:U1061"/>
    <mergeCell ref="W1058:W1061"/>
    <mergeCell ref="AB1058:AB1061"/>
    <mergeCell ref="AD1058:AD1061"/>
    <mergeCell ref="U1050:U1051"/>
    <mergeCell ref="W1050:W1051"/>
    <mergeCell ref="AB1050:AB1051"/>
    <mergeCell ref="AD1050:AD1051"/>
    <mergeCell ref="AI1050:AI1051"/>
    <mergeCell ref="AK1050:AK1051"/>
    <mergeCell ref="AB1048:AB1049"/>
    <mergeCell ref="AD1048:AD1049"/>
    <mergeCell ref="AI1048:AI1049"/>
    <mergeCell ref="AK1048:AK1049"/>
    <mergeCell ref="AP1048:AP1049"/>
    <mergeCell ref="B1050:B1051"/>
    <mergeCell ref="G1050:G1051"/>
    <mergeCell ref="I1050:I1051"/>
    <mergeCell ref="N1050:N1051"/>
    <mergeCell ref="P1050:P1051"/>
    <mergeCell ref="AI1040:AI1043"/>
    <mergeCell ref="AK1040:AK1043"/>
    <mergeCell ref="AP1040:AP1043"/>
    <mergeCell ref="B1048:B1049"/>
    <mergeCell ref="G1048:G1049"/>
    <mergeCell ref="I1048:I1049"/>
    <mergeCell ref="N1048:N1049"/>
    <mergeCell ref="P1048:P1049"/>
    <mergeCell ref="U1048:U1049"/>
    <mergeCell ref="W1048:W1049"/>
    <mergeCell ref="AP1031:AP1034"/>
    <mergeCell ref="B1040:B1043"/>
    <mergeCell ref="G1040:G1043"/>
    <mergeCell ref="I1040:I1043"/>
    <mergeCell ref="N1040:N1043"/>
    <mergeCell ref="P1040:P1043"/>
    <mergeCell ref="U1040:U1043"/>
    <mergeCell ref="W1040:W1043"/>
    <mergeCell ref="AB1040:AB1043"/>
    <mergeCell ref="AD1040:AD1043"/>
    <mergeCell ref="U1031:U1034"/>
    <mergeCell ref="W1031:W1034"/>
    <mergeCell ref="AB1031:AB1034"/>
    <mergeCell ref="AD1031:AD1034"/>
    <mergeCell ref="AI1031:AI1034"/>
    <mergeCell ref="AK1031:AK1034"/>
    <mergeCell ref="AB1020:AB1025"/>
    <mergeCell ref="AD1020:AD1025"/>
    <mergeCell ref="AI1020:AI1025"/>
    <mergeCell ref="AK1020:AK1025"/>
    <mergeCell ref="AP1020:AP1025"/>
    <mergeCell ref="B1031:B1034"/>
    <mergeCell ref="G1031:G1034"/>
    <mergeCell ref="I1031:I1034"/>
    <mergeCell ref="N1031:N1034"/>
    <mergeCell ref="P1031:P1034"/>
    <mergeCell ref="AB1010:AB1013"/>
    <mergeCell ref="AI1010:AI1013"/>
    <mergeCell ref="AP1010:AP1013"/>
    <mergeCell ref="B1020:B1025"/>
    <mergeCell ref="G1020:G1025"/>
    <mergeCell ref="I1020:I1025"/>
    <mergeCell ref="N1020:N1025"/>
    <mergeCell ref="P1020:P1025"/>
    <mergeCell ref="U1020:U1025"/>
    <mergeCell ref="W1020:W1025"/>
    <mergeCell ref="B1010:B1013"/>
    <mergeCell ref="G1010:G1013"/>
    <mergeCell ref="I1010:I1013"/>
    <mergeCell ref="N1010:N1013"/>
    <mergeCell ref="P1010:P1013"/>
    <mergeCell ref="U1010:U1013"/>
    <mergeCell ref="W1008:W1009"/>
    <mergeCell ref="AB1008:AB1009"/>
    <mergeCell ref="AD1008:AD1009"/>
    <mergeCell ref="AI1008:AI1009"/>
    <mergeCell ref="AK1008:AK1009"/>
    <mergeCell ref="AP1008:AP1009"/>
    <mergeCell ref="B1008:B1009"/>
    <mergeCell ref="G1008:G1009"/>
    <mergeCell ref="I1008:I1009"/>
    <mergeCell ref="N1008:N1009"/>
    <mergeCell ref="P1008:P1009"/>
    <mergeCell ref="U1008:U1009"/>
    <mergeCell ref="W1000:W1002"/>
    <mergeCell ref="AB1000:AB1002"/>
    <mergeCell ref="AD1000:AD1002"/>
    <mergeCell ref="AI1000:AI1002"/>
    <mergeCell ref="AK1000:AK1002"/>
    <mergeCell ref="AP1000:AP1002"/>
    <mergeCell ref="B1000:B1002"/>
    <mergeCell ref="G1000:G1002"/>
    <mergeCell ref="I1000:I1002"/>
    <mergeCell ref="N1000:N1002"/>
    <mergeCell ref="P1000:P1002"/>
    <mergeCell ref="U1000:U1002"/>
    <mergeCell ref="AP990:AP991"/>
    <mergeCell ref="B992:B994"/>
    <mergeCell ref="G992:G994"/>
    <mergeCell ref="AD992:AD994"/>
    <mergeCell ref="AI992:AI994"/>
    <mergeCell ref="AK992:AK994"/>
    <mergeCell ref="AP992:AP994"/>
    <mergeCell ref="B976:B981"/>
    <mergeCell ref="B990:B991"/>
    <mergeCell ref="G990:G991"/>
    <mergeCell ref="AD990:AD991"/>
    <mergeCell ref="AI990:AI991"/>
    <mergeCell ref="AK990:AK991"/>
    <mergeCell ref="B935:B937"/>
    <mergeCell ref="G935:G937"/>
    <mergeCell ref="B943:B946"/>
    <mergeCell ref="G943:G946"/>
    <mergeCell ref="B962:B963"/>
    <mergeCell ref="B964:B967"/>
    <mergeCell ref="B920:B923"/>
    <mergeCell ref="G920:G923"/>
    <mergeCell ref="B924:B928"/>
    <mergeCell ref="G924:G928"/>
    <mergeCell ref="B933:B934"/>
    <mergeCell ref="G933:G934"/>
    <mergeCell ref="B897:B898"/>
    <mergeCell ref="G897:G898"/>
    <mergeCell ref="B904:B906"/>
    <mergeCell ref="G904:G906"/>
    <mergeCell ref="B912:B915"/>
    <mergeCell ref="G912:G915"/>
    <mergeCell ref="B710:B712"/>
    <mergeCell ref="G710:G712"/>
    <mergeCell ref="B883:B884"/>
    <mergeCell ref="G883:G884"/>
    <mergeCell ref="B885:B891"/>
    <mergeCell ref="G885:G891"/>
    <mergeCell ref="B689:B694"/>
    <mergeCell ref="G689:G694"/>
    <mergeCell ref="B700:B703"/>
    <mergeCell ref="G700:G703"/>
    <mergeCell ref="B708:B709"/>
    <mergeCell ref="G708:G709"/>
    <mergeCell ref="C657:D657"/>
    <mergeCell ref="E657:F657"/>
    <mergeCell ref="C666:D666"/>
    <mergeCell ref="E666:F666"/>
    <mergeCell ref="B686:B688"/>
    <mergeCell ref="G686:G688"/>
    <mergeCell ref="C635:D635"/>
    <mergeCell ref="E635:F635"/>
    <mergeCell ref="C641:D641"/>
    <mergeCell ref="E641:F641"/>
    <mergeCell ref="C647:D647"/>
    <mergeCell ref="E647:F647"/>
    <mergeCell ref="C610:D610"/>
    <mergeCell ref="E610:F610"/>
    <mergeCell ref="C619:D619"/>
    <mergeCell ref="E619:F619"/>
    <mergeCell ref="C626:D626"/>
    <mergeCell ref="E626:F626"/>
    <mergeCell ref="C596:D596"/>
    <mergeCell ref="E596:F596"/>
    <mergeCell ref="C597:D597"/>
    <mergeCell ref="E597:F597"/>
    <mergeCell ref="C605:D605"/>
    <mergeCell ref="E605:F605"/>
    <mergeCell ref="C556:D556"/>
    <mergeCell ref="E556:F556"/>
    <mergeCell ref="C565:D565"/>
    <mergeCell ref="E565:F565"/>
    <mergeCell ref="C566:D566"/>
    <mergeCell ref="E566:F566"/>
    <mergeCell ref="C544:D544"/>
    <mergeCell ref="E544:F544"/>
    <mergeCell ref="C545:D545"/>
    <mergeCell ref="E545:F545"/>
    <mergeCell ref="C555:D555"/>
    <mergeCell ref="E555:F555"/>
    <mergeCell ref="B501:B504"/>
    <mergeCell ref="G501:G504"/>
    <mergeCell ref="I501:I504"/>
    <mergeCell ref="N501:N504"/>
    <mergeCell ref="B524:B528"/>
    <mergeCell ref="B535:B536"/>
    <mergeCell ref="B490:B491"/>
    <mergeCell ref="G490:G491"/>
    <mergeCell ref="I490:I491"/>
    <mergeCell ref="N490:N491"/>
    <mergeCell ref="B496:B500"/>
    <mergeCell ref="G496:G500"/>
    <mergeCell ref="I496:I500"/>
    <mergeCell ref="N496:N500"/>
    <mergeCell ref="I478:I479"/>
    <mergeCell ref="N478:N479"/>
    <mergeCell ref="I480:I481"/>
    <mergeCell ref="N480:N481"/>
    <mergeCell ref="B487:B489"/>
    <mergeCell ref="G487:G489"/>
    <mergeCell ref="I487:I489"/>
    <mergeCell ref="N487:N489"/>
    <mergeCell ref="N455:N458"/>
    <mergeCell ref="B459:B460"/>
    <mergeCell ref="G459:G460"/>
    <mergeCell ref="I459:I460"/>
    <mergeCell ref="N459:N460"/>
    <mergeCell ref="B466:B471"/>
    <mergeCell ref="G466:G471"/>
    <mergeCell ref="I466:I471"/>
    <mergeCell ref="N466:N471"/>
    <mergeCell ref="G439:H439"/>
    <mergeCell ref="I439:J439"/>
    <mergeCell ref="K439:L439"/>
    <mergeCell ref="B455:B458"/>
    <mergeCell ref="G455:G458"/>
    <mergeCell ref="I455:I458"/>
    <mergeCell ref="B397:B401"/>
    <mergeCell ref="B402:B403"/>
    <mergeCell ref="B409:B411"/>
    <mergeCell ref="B412:B413"/>
    <mergeCell ref="C439:D439"/>
    <mergeCell ref="E439:F439"/>
    <mergeCell ref="W367:W370"/>
    <mergeCell ref="AB367:AB370"/>
    <mergeCell ref="AD367:AD370"/>
    <mergeCell ref="AI367:AI370"/>
    <mergeCell ref="W375:W378"/>
    <mergeCell ref="AB375:AB378"/>
    <mergeCell ref="AD375:AD378"/>
    <mergeCell ref="AI375:AI378"/>
    <mergeCell ref="W356:W357"/>
    <mergeCell ref="AB356:AB357"/>
    <mergeCell ref="AD357:AD361"/>
    <mergeCell ref="AI357:AI361"/>
    <mergeCell ref="W359:W361"/>
    <mergeCell ref="AB359:AB361"/>
    <mergeCell ref="W348:W349"/>
    <mergeCell ref="AB348:AB349"/>
    <mergeCell ref="AD348:AD351"/>
    <mergeCell ref="AI348:AI351"/>
    <mergeCell ref="W350:W351"/>
    <mergeCell ref="AB350:AB351"/>
    <mergeCell ref="W338:W339"/>
    <mergeCell ref="AB338:AB339"/>
    <mergeCell ref="AD338:AD340"/>
    <mergeCell ref="AI338:AI340"/>
    <mergeCell ref="W345:W347"/>
    <mergeCell ref="AB345:AB347"/>
    <mergeCell ref="AD345:AD347"/>
    <mergeCell ref="AI345:AI347"/>
    <mergeCell ref="W329:W330"/>
    <mergeCell ref="AB329:AB330"/>
    <mergeCell ref="AD329:AD330"/>
    <mergeCell ref="AI329:AI330"/>
    <mergeCell ref="W335:W337"/>
    <mergeCell ref="AB335:AB337"/>
    <mergeCell ref="AD335:AD337"/>
    <mergeCell ref="AI335:AI337"/>
    <mergeCell ref="W326:W328"/>
    <mergeCell ref="AB326:AB328"/>
    <mergeCell ref="AD326:AD328"/>
    <mergeCell ref="AI326:AI328"/>
    <mergeCell ref="B329:B330"/>
    <mergeCell ref="G329:G330"/>
    <mergeCell ref="I329:I330"/>
    <mergeCell ref="N329:N330"/>
    <mergeCell ref="P329:P330"/>
    <mergeCell ref="U329:U330"/>
    <mergeCell ref="B326:B328"/>
    <mergeCell ref="G326:G328"/>
    <mergeCell ref="I326:I328"/>
    <mergeCell ref="N326:N328"/>
    <mergeCell ref="P326:P328"/>
    <mergeCell ref="U326:U328"/>
    <mergeCell ref="W316:W319"/>
    <mergeCell ref="AB316:AB319"/>
    <mergeCell ref="B320:B321"/>
    <mergeCell ref="G320:G321"/>
    <mergeCell ref="I320:I321"/>
    <mergeCell ref="N320:N321"/>
    <mergeCell ref="P320:P321"/>
    <mergeCell ref="U320:U321"/>
    <mergeCell ref="W320:W321"/>
    <mergeCell ref="AB320:AB321"/>
    <mergeCell ref="W310:W311"/>
    <mergeCell ref="AB310:AB311"/>
    <mergeCell ref="AD310:AD311"/>
    <mergeCell ref="AI310:AI311"/>
    <mergeCell ref="B316:B319"/>
    <mergeCell ref="G316:G319"/>
    <mergeCell ref="I316:I319"/>
    <mergeCell ref="N316:N319"/>
    <mergeCell ref="P316:P319"/>
    <mergeCell ref="U316:U319"/>
    <mergeCell ref="B307:B311"/>
    <mergeCell ref="G307:G311"/>
    <mergeCell ref="I307:I311"/>
    <mergeCell ref="N307:N311"/>
    <mergeCell ref="P307:P311"/>
    <mergeCell ref="U307:U311"/>
    <mergeCell ref="W303:W304"/>
    <mergeCell ref="AB303:AB304"/>
    <mergeCell ref="AD303:AD306"/>
    <mergeCell ref="AI303:AI306"/>
    <mergeCell ref="W305:W309"/>
    <mergeCell ref="AB305:AB309"/>
    <mergeCell ref="AD307:AD309"/>
    <mergeCell ref="AI307:AI309"/>
    <mergeCell ref="B303:B306"/>
    <mergeCell ref="G303:G306"/>
    <mergeCell ref="I303:I306"/>
    <mergeCell ref="N303:N306"/>
    <mergeCell ref="P303:P306"/>
    <mergeCell ref="U303:U306"/>
    <mergeCell ref="W292:W295"/>
    <mergeCell ref="AB292:AB295"/>
    <mergeCell ref="B296:B298"/>
    <mergeCell ref="G296:G298"/>
    <mergeCell ref="I296:I298"/>
    <mergeCell ref="N296:N298"/>
    <mergeCell ref="P296:P298"/>
    <mergeCell ref="U296:U298"/>
    <mergeCell ref="W296:W298"/>
    <mergeCell ref="AB296:AB298"/>
    <mergeCell ref="B292:B295"/>
    <mergeCell ref="G292:G295"/>
    <mergeCell ref="I292:I295"/>
    <mergeCell ref="N292:N295"/>
    <mergeCell ref="P292:P295"/>
    <mergeCell ref="U292:U295"/>
    <mergeCell ref="W283:W284"/>
    <mergeCell ref="AB283:AB284"/>
    <mergeCell ref="B286:B287"/>
    <mergeCell ref="G286:G287"/>
    <mergeCell ref="I286:I287"/>
    <mergeCell ref="N286:N287"/>
    <mergeCell ref="P286:P287"/>
    <mergeCell ref="U286:U287"/>
    <mergeCell ref="AB286:AB287"/>
    <mergeCell ref="B283:B284"/>
    <mergeCell ref="G283:G284"/>
    <mergeCell ref="I283:I284"/>
    <mergeCell ref="N283:N284"/>
    <mergeCell ref="P283:P284"/>
    <mergeCell ref="U283:U284"/>
    <mergeCell ref="AB267:AB269"/>
    <mergeCell ref="B274:B277"/>
    <mergeCell ref="G274:G277"/>
    <mergeCell ref="I274:I277"/>
    <mergeCell ref="N274:N277"/>
    <mergeCell ref="P274:P277"/>
    <mergeCell ref="U274:U277"/>
    <mergeCell ref="AB259:AB260"/>
    <mergeCell ref="AD259:AD260"/>
    <mergeCell ref="AI259:AI260"/>
    <mergeCell ref="B267:B269"/>
    <mergeCell ref="G267:G269"/>
    <mergeCell ref="I267:I269"/>
    <mergeCell ref="N267:N269"/>
    <mergeCell ref="P267:P269"/>
    <mergeCell ref="U267:U269"/>
    <mergeCell ref="W267:W269"/>
    <mergeCell ref="AB256:AB258"/>
    <mergeCell ref="AD256:AD258"/>
    <mergeCell ref="AI256:AI258"/>
    <mergeCell ref="B259:B260"/>
    <mergeCell ref="G259:G260"/>
    <mergeCell ref="I259:I260"/>
    <mergeCell ref="N259:N260"/>
    <mergeCell ref="P259:P260"/>
    <mergeCell ref="U259:U260"/>
    <mergeCell ref="W259:W260"/>
    <mergeCell ref="U249:U251"/>
    <mergeCell ref="W249:W251"/>
    <mergeCell ref="AB249:AB251"/>
    <mergeCell ref="B256:B258"/>
    <mergeCell ref="G256:G258"/>
    <mergeCell ref="I256:I258"/>
    <mergeCell ref="N256:N258"/>
    <mergeCell ref="P256:P258"/>
    <mergeCell ref="U256:U258"/>
    <mergeCell ref="W256:W258"/>
    <mergeCell ref="N240:N242"/>
    <mergeCell ref="P240:P242"/>
    <mergeCell ref="U240:U242"/>
    <mergeCell ref="W240:W242"/>
    <mergeCell ref="AB240:AB242"/>
    <mergeCell ref="B249:B251"/>
    <mergeCell ref="G249:G251"/>
    <mergeCell ref="I249:I251"/>
    <mergeCell ref="N249:N251"/>
    <mergeCell ref="P249:P251"/>
    <mergeCell ref="B192:B193"/>
    <mergeCell ref="C220:D220"/>
    <mergeCell ref="E220:F220"/>
    <mergeCell ref="B240:B242"/>
    <mergeCell ref="G240:G242"/>
    <mergeCell ref="I240:I242"/>
    <mergeCell ref="B158:B159"/>
    <mergeCell ref="B160:B162"/>
    <mergeCell ref="B168:B169"/>
    <mergeCell ref="B170:B172"/>
    <mergeCell ref="B180:B183"/>
    <mergeCell ref="B189:B190"/>
    <mergeCell ref="B136:B140"/>
    <mergeCell ref="G136:G140"/>
    <mergeCell ref="I136:I140"/>
    <mergeCell ref="N136:N140"/>
    <mergeCell ref="P136:P140"/>
    <mergeCell ref="U136:U140"/>
    <mergeCell ref="I125:I128"/>
    <mergeCell ref="N125:N128"/>
    <mergeCell ref="P125:P128"/>
    <mergeCell ref="U125:U128"/>
    <mergeCell ref="B134:B135"/>
    <mergeCell ref="G134:G135"/>
    <mergeCell ref="I134:I135"/>
    <mergeCell ref="N134:N135"/>
    <mergeCell ref="P134:P135"/>
    <mergeCell ref="U134:U135"/>
    <mergeCell ref="P113:P115"/>
    <mergeCell ref="U113:U115"/>
    <mergeCell ref="B120:B123"/>
    <mergeCell ref="G120:G123"/>
    <mergeCell ref="I120:I124"/>
    <mergeCell ref="N120:N124"/>
    <mergeCell ref="P120:P124"/>
    <mergeCell ref="U120:U124"/>
    <mergeCell ref="B124:B128"/>
    <mergeCell ref="G124:G128"/>
    <mergeCell ref="B110:B111"/>
    <mergeCell ref="G110:G111"/>
    <mergeCell ref="I110:I112"/>
    <mergeCell ref="N110:N112"/>
    <mergeCell ref="P110:P112"/>
    <mergeCell ref="U110:U112"/>
    <mergeCell ref="B112:B115"/>
    <mergeCell ref="G112:G115"/>
    <mergeCell ref="I113:I115"/>
    <mergeCell ref="N113:N115"/>
    <mergeCell ref="B103:B105"/>
    <mergeCell ref="G103:G105"/>
    <mergeCell ref="I103:I105"/>
    <mergeCell ref="N103:N105"/>
    <mergeCell ref="P103:P105"/>
    <mergeCell ref="U103:U105"/>
    <mergeCell ref="B101:B102"/>
    <mergeCell ref="G101:G102"/>
    <mergeCell ref="I101:I102"/>
    <mergeCell ref="N101:N102"/>
    <mergeCell ref="P101:P102"/>
    <mergeCell ref="U101:U102"/>
    <mergeCell ref="B92:B94"/>
    <mergeCell ref="G92:G94"/>
    <mergeCell ref="P92:P94"/>
    <mergeCell ref="U92:U94"/>
    <mergeCell ref="B95:B96"/>
    <mergeCell ref="G95:G96"/>
    <mergeCell ref="B85:B87"/>
    <mergeCell ref="G85:G87"/>
    <mergeCell ref="I85:I87"/>
    <mergeCell ref="N85:N87"/>
    <mergeCell ref="P85:P87"/>
    <mergeCell ref="U85:U87"/>
    <mergeCell ref="B83:B84"/>
    <mergeCell ref="G83:G84"/>
    <mergeCell ref="I83:I84"/>
    <mergeCell ref="N83:N84"/>
    <mergeCell ref="P83:P84"/>
    <mergeCell ref="U83:U84"/>
    <mergeCell ref="B76:B78"/>
    <mergeCell ref="G76:G78"/>
    <mergeCell ref="I76:I78"/>
    <mergeCell ref="N76:N78"/>
    <mergeCell ref="P76:P78"/>
    <mergeCell ref="U76:U78"/>
    <mergeCell ref="B72:B75"/>
    <mergeCell ref="G72:G75"/>
    <mergeCell ref="I72:I75"/>
    <mergeCell ref="N72:N75"/>
    <mergeCell ref="P72:P75"/>
    <mergeCell ref="U72:U75"/>
    <mergeCell ref="B65:B67"/>
    <mergeCell ref="G65:G67"/>
    <mergeCell ref="I65:I67"/>
    <mergeCell ref="N65:N67"/>
    <mergeCell ref="P65:P67"/>
    <mergeCell ref="U65:U67"/>
    <mergeCell ref="B61:B64"/>
    <mergeCell ref="G61:G64"/>
    <mergeCell ref="I61:I64"/>
    <mergeCell ref="N61:N64"/>
    <mergeCell ref="P61:P64"/>
    <mergeCell ref="U61:U64"/>
    <mergeCell ref="B55:B56"/>
    <mergeCell ref="G55:G56"/>
    <mergeCell ref="I55:I56"/>
    <mergeCell ref="N55:N56"/>
    <mergeCell ref="P55:P56"/>
    <mergeCell ref="U55:U56"/>
    <mergeCell ref="U46:U47"/>
    <mergeCell ref="B52:B53"/>
    <mergeCell ref="G52:G53"/>
    <mergeCell ref="I52:I53"/>
    <mergeCell ref="N52:N53"/>
    <mergeCell ref="U52:U53"/>
    <mergeCell ref="B46:B47"/>
    <mergeCell ref="G46:G47"/>
    <mergeCell ref="I46:I47"/>
    <mergeCell ref="M46:M47"/>
    <mergeCell ref="N46:N47"/>
    <mergeCell ref="P46:P47"/>
    <mergeCell ref="B43:B44"/>
    <mergeCell ref="G43:G44"/>
    <mergeCell ref="I43:I44"/>
    <mergeCell ref="N43:N44"/>
    <mergeCell ref="P43:P44"/>
    <mergeCell ref="U43:U44"/>
    <mergeCell ref="B36:B38"/>
    <mergeCell ref="G36:G38"/>
    <mergeCell ref="I36:I38"/>
    <mergeCell ref="N36:N38"/>
    <mergeCell ref="P36:P38"/>
    <mergeCell ref="U36:U38"/>
    <mergeCell ref="B34:B35"/>
    <mergeCell ref="G34:G35"/>
    <mergeCell ref="I34:I35"/>
    <mergeCell ref="N34:N35"/>
    <mergeCell ref="P34:P35"/>
    <mergeCell ref="U34:U35"/>
    <mergeCell ref="B28:B29"/>
    <mergeCell ref="G28:G29"/>
    <mergeCell ref="I28:I29"/>
    <mergeCell ref="N28:N29"/>
    <mergeCell ref="P28:P29"/>
    <mergeCell ref="U28:U29"/>
    <mergeCell ref="B24:B26"/>
    <mergeCell ref="G24:G26"/>
    <mergeCell ref="I24:I26"/>
    <mergeCell ref="N24:N26"/>
    <mergeCell ref="P24:P26"/>
    <mergeCell ref="U24:U2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Rita Bastos Rebelo</dc:creator>
  <cp:lastModifiedBy>Ana Rita Bastos Rebelo</cp:lastModifiedBy>
  <dcterms:created xsi:type="dcterms:W3CDTF">2022-04-22T14:33:18Z</dcterms:created>
  <dcterms:modified xsi:type="dcterms:W3CDTF">2022-04-22T14:45:15Z</dcterms:modified>
</cp:coreProperties>
</file>