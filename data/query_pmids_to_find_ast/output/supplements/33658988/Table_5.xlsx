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Wissdaten\SEQ_FG13\WeberR\13_Publikationen\2020_GWAS\12_Final\"/>
    </mc:Choice>
  </mc:AlternateContent>
  <xr:revisionPtr revIDLastSave="0" documentId="13_ncr:1_{9EB68B17-1E7E-41CC-89D6-05CCD9DEB5D7}" xr6:coauthVersionLast="36" xr6:coauthVersionMax="36" xr10:uidLastSave="{00000000-0000-0000-0000-000000000000}"/>
  <bookViews>
    <workbookView xWindow="0" yWindow="0" windowWidth="28800" windowHeight="14025" xr2:uid="{B28C8FC8-90B8-4C62-B478-74A290363C8F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3" i="1" l="1"/>
  <c r="F81" i="1"/>
  <c r="E81" i="1"/>
  <c r="E83" i="1"/>
</calcChain>
</file>

<file path=xl/sharedStrings.xml><?xml version="1.0" encoding="utf-8"?>
<sst xmlns="http://schemas.openxmlformats.org/spreadsheetml/2006/main" count="385" uniqueCount="99">
  <si>
    <t>Isolat</t>
  </si>
  <si>
    <t>12-03340</t>
  </si>
  <si>
    <t>12-03341</t>
  </si>
  <si>
    <t>12-03499</t>
  </si>
  <si>
    <t>06-00998</t>
  </si>
  <si>
    <t>06-01624</t>
  </si>
  <si>
    <t>12-02858-1</t>
  </si>
  <si>
    <t>10-03087</t>
  </si>
  <si>
    <t>09-01718</t>
  </si>
  <si>
    <t>09-03066</t>
  </si>
  <si>
    <t>14-02900</t>
  </si>
  <si>
    <t>12-01857</t>
  </si>
  <si>
    <t>14-01092</t>
  </si>
  <si>
    <t>12-03136</t>
  </si>
  <si>
    <t>16-02942</t>
  </si>
  <si>
    <t>16-02658</t>
  </si>
  <si>
    <t>12-02278</t>
  </si>
  <si>
    <t>12-02289</t>
  </si>
  <si>
    <t>12-02755</t>
  </si>
  <si>
    <t>12-02846</t>
  </si>
  <si>
    <t>12-02895</t>
  </si>
  <si>
    <t>12-03081</t>
  </si>
  <si>
    <t>12-03139</t>
  </si>
  <si>
    <t>12-03561-1</t>
  </si>
  <si>
    <t>12-02600</t>
  </si>
  <si>
    <t>12-02888</t>
  </si>
  <si>
    <t>12-02461</t>
  </si>
  <si>
    <t>12-02856</t>
  </si>
  <si>
    <t>16-03048</t>
  </si>
  <si>
    <t>16-02541-1</t>
  </si>
  <si>
    <t>11-02017</t>
  </si>
  <si>
    <t>11-03477-1</t>
  </si>
  <si>
    <t>14-01528</t>
  </si>
  <si>
    <t>10-00598</t>
  </si>
  <si>
    <t>10-01482</t>
  </si>
  <si>
    <t>12-02956</t>
  </si>
  <si>
    <t>12-03280</t>
  </si>
  <si>
    <t>14-02150</t>
  </si>
  <si>
    <t>08-00271</t>
  </si>
  <si>
    <t>15-02439</t>
  </si>
  <si>
    <t>12-02028</t>
  </si>
  <si>
    <t>10-00249</t>
  </si>
  <si>
    <t>10-00729</t>
  </si>
  <si>
    <t>10-02919</t>
  </si>
  <si>
    <t>12-00490</t>
  </si>
  <si>
    <t>11-02667</t>
  </si>
  <si>
    <t>12-00264</t>
  </si>
  <si>
    <t>10-01267</t>
  </si>
  <si>
    <t>14-01734</t>
  </si>
  <si>
    <t>10-00329</t>
  </si>
  <si>
    <t>12-02627</t>
  </si>
  <si>
    <t>12-02354</t>
  </si>
  <si>
    <t>12-02813</t>
  </si>
  <si>
    <t>12-02973</t>
  </si>
  <si>
    <t>12-03094</t>
  </si>
  <si>
    <t>12-03546</t>
  </si>
  <si>
    <t>14-03505</t>
  </si>
  <si>
    <t>12-02225</t>
  </si>
  <si>
    <t>12-02230</t>
  </si>
  <si>
    <t>12-02870</t>
  </si>
  <si>
    <t>12-03115</t>
  </si>
  <si>
    <t>12-02427-1</t>
  </si>
  <si>
    <t>12-00046</t>
  </si>
  <si>
    <t>98-01155-2</t>
  </si>
  <si>
    <t>11-00453</t>
  </si>
  <si>
    <t>99-00653</t>
  </si>
  <si>
    <t>12-02831</t>
  </si>
  <si>
    <t>12-00567</t>
  </si>
  <si>
    <t>10-00777</t>
  </si>
  <si>
    <t>02-03179</t>
  </si>
  <si>
    <t>10-01257-2</t>
  </si>
  <si>
    <t>10-01263</t>
  </si>
  <si>
    <t>11-00668</t>
  </si>
  <si>
    <t>11-03330</t>
  </si>
  <si>
    <t>12-02057-2</t>
  </si>
  <si>
    <t>12-03222</t>
  </si>
  <si>
    <t>12-02408-1</t>
  </si>
  <si>
    <t>08-01162-2</t>
  </si>
  <si>
    <t>10-01507</t>
  </si>
  <si>
    <t>12-01456-2</t>
  </si>
  <si>
    <t>09-00215</t>
  </si>
  <si>
    <t>09-00212</t>
  </si>
  <si>
    <t>11-01226</t>
  </si>
  <si>
    <t>10-00856</t>
  </si>
  <si>
    <t>12-03411</t>
  </si>
  <si>
    <t>15-01585</t>
  </si>
  <si>
    <t>12-03317</t>
  </si>
  <si>
    <t>16-02597</t>
  </si>
  <si>
    <r>
      <t>BMD MIC (median)
Ceftarolin</t>
    </r>
    <r>
      <rPr>
        <vertAlign val="superscript"/>
        <sz val="12"/>
        <color theme="1"/>
        <rFont val="Times New Roman"/>
        <family val="1"/>
      </rPr>
      <t>a</t>
    </r>
  </si>
  <si>
    <t>S</t>
  </si>
  <si>
    <t>R</t>
  </si>
  <si>
    <t>susceptible</t>
  </si>
  <si>
    <t>resistant</t>
  </si>
  <si>
    <r>
      <t>BMD MIC interpretation</t>
    </r>
    <r>
      <rPr>
        <vertAlign val="superscript"/>
        <sz val="12"/>
        <color theme="1"/>
        <rFont val="Times New Roman"/>
        <family val="1"/>
      </rPr>
      <t>a</t>
    </r>
  </si>
  <si>
    <r>
      <t>CIP resistance 
phenotype</t>
    </r>
    <r>
      <rPr>
        <vertAlign val="superscript"/>
        <sz val="12"/>
        <color theme="1"/>
        <rFont val="Times New Roman"/>
        <family val="1"/>
      </rPr>
      <t>a</t>
    </r>
  </si>
  <si>
    <t>yes</t>
  </si>
  <si>
    <t xml:space="preserve">GrlA 
S80F </t>
  </si>
  <si>
    <r>
      <t>GyrA</t>
    </r>
    <r>
      <rPr>
        <i/>
        <sz val="12"/>
        <color theme="1"/>
        <rFont val="Times New Roman"/>
        <family val="1"/>
      </rPr>
      <t xml:space="preserve"> 
</t>
    </r>
    <r>
      <rPr>
        <sz val="12"/>
        <color theme="1"/>
        <rFont val="Times New Roman"/>
        <family val="1"/>
      </rPr>
      <t xml:space="preserve">S84L </t>
    </r>
  </si>
  <si>
    <r>
      <t>a</t>
    </r>
    <r>
      <rPr>
        <sz val="12"/>
        <color theme="1"/>
        <rFont val="Times New Roman"/>
        <family val="1"/>
      </rPr>
      <t>see Supplementary Table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</si>
</sst>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vertAlign val="superscript"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2" fontId="1" fillId="2" borderId="2" xfId="0" applyNumberFormat="1" applyFont="1" applyFill="1" applyBorder="1" applyAlignment="1">
      <alignment horizontal="left" wrapText="1"/>
    </xf>
    <xf numFmtId="2" fontId="2" fillId="0" borderId="1" xfId="0" applyNumberFormat="1" applyFont="1" applyFill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0" fontId="1" fillId="0" borderId="0" xfId="0" applyFont="1"/>
    <xf numFmtId="0" fontId="3" fillId="0" borderId="0" xfId="0" applyFont="1" applyAlignment="1"/>
    <xf numFmtId="0" fontId="1" fillId="0" borderId="0" xfId="0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berr\AppData\Local\Temp\1\OneNote\16.0\Exported\%7b528DDF68-51E2-4031-B724-B37DDAEA2BC1%7d\NT\1\SCCmecSNPsAbbildung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  <sheetName val="Tabelle3"/>
    </sheetNames>
    <sheetDataSet>
      <sheetData sheetId="0"/>
      <sheetData sheetId="1">
        <row r="1">
          <cell r="B1" t="str">
            <v>topo Plink</v>
          </cell>
          <cell r="C1" t="str">
            <v>gyrase PLINK</v>
          </cell>
        </row>
        <row r="2">
          <cell r="B2" t="str">
            <v>S80F</v>
          </cell>
          <cell r="C2" t="str">
            <v>S84L</v>
          </cell>
        </row>
        <row r="4">
          <cell r="A4" t="str">
            <v>10-00856</v>
          </cell>
        </row>
        <row r="5">
          <cell r="A5" t="str">
            <v>12-02956</v>
          </cell>
        </row>
        <row r="6">
          <cell r="A6" t="str">
            <v>08-00271</v>
          </cell>
        </row>
        <row r="7">
          <cell r="A7" t="str">
            <v>12-03280</v>
          </cell>
        </row>
        <row r="8">
          <cell r="A8" t="str">
            <v>12-02028</v>
          </cell>
        </row>
        <row r="9">
          <cell r="A9" t="str">
            <v>14-02150</v>
          </cell>
        </row>
        <row r="10">
          <cell r="A10" t="str">
            <v>15-02439</v>
          </cell>
        </row>
        <row r="11">
          <cell r="A11" t="str">
            <v>12-03136</v>
          </cell>
          <cell r="B11" t="str">
            <v/>
          </cell>
          <cell r="C11" t="str">
            <v/>
          </cell>
        </row>
        <row r="12">
          <cell r="A12" t="str">
            <v>14-01734</v>
          </cell>
          <cell r="B12">
            <v>1</v>
          </cell>
          <cell r="C12">
            <v>1</v>
          </cell>
        </row>
        <row r="13">
          <cell r="A13" t="str">
            <v>16-02658</v>
          </cell>
          <cell r="B13" t="str">
            <v>*</v>
          </cell>
          <cell r="C13">
            <v>1</v>
          </cell>
        </row>
        <row r="14">
          <cell r="A14" t="str">
            <v>16-02942</v>
          </cell>
          <cell r="B14" t="str">
            <v>*</v>
          </cell>
          <cell r="C14">
            <v>1</v>
          </cell>
        </row>
        <row r="15">
          <cell r="A15" t="str">
            <v>12-02057-2</v>
          </cell>
          <cell r="B15">
            <v>1</v>
          </cell>
          <cell r="C15">
            <v>1</v>
          </cell>
        </row>
        <row r="16">
          <cell r="A16" t="str">
            <v>09-00212</v>
          </cell>
          <cell r="B16">
            <v>1</v>
          </cell>
        </row>
        <row r="17">
          <cell r="A17" t="str">
            <v>10-01507</v>
          </cell>
          <cell r="B17">
            <v>1</v>
          </cell>
          <cell r="C17">
            <v>1</v>
          </cell>
        </row>
        <row r="18">
          <cell r="A18" t="str">
            <v>12-03222</v>
          </cell>
          <cell r="B18">
            <v>1</v>
          </cell>
          <cell r="C18">
            <v>1</v>
          </cell>
        </row>
        <row r="19">
          <cell r="A19" t="str">
            <v>12-03317</v>
          </cell>
          <cell r="B19">
            <v>1</v>
          </cell>
          <cell r="C19">
            <v>1</v>
          </cell>
        </row>
        <row r="20">
          <cell r="A20" t="str">
            <v>09-00215</v>
          </cell>
          <cell r="B20" t="str">
            <v/>
          </cell>
          <cell r="C20" t="str">
            <v/>
          </cell>
        </row>
        <row r="21">
          <cell r="A21" t="str">
            <v>11-01226</v>
          </cell>
          <cell r="B21" t="str">
            <v/>
          </cell>
          <cell r="C21" t="str">
            <v/>
          </cell>
        </row>
        <row r="22">
          <cell r="A22" t="str">
            <v>12-03411</v>
          </cell>
          <cell r="B22">
            <v>1</v>
          </cell>
          <cell r="C22">
            <v>1</v>
          </cell>
        </row>
        <row r="23">
          <cell r="A23" t="str">
            <v>08-01162-2</v>
          </cell>
          <cell r="B23">
            <v>1</v>
          </cell>
          <cell r="C23">
            <v>1</v>
          </cell>
        </row>
        <row r="24">
          <cell r="A24" t="str">
            <v>12-01456-2</v>
          </cell>
          <cell r="B24">
            <v>1</v>
          </cell>
          <cell r="C24">
            <v>1</v>
          </cell>
        </row>
        <row r="25">
          <cell r="A25" t="str">
            <v>12-02408-1</v>
          </cell>
          <cell r="B25">
            <v>1</v>
          </cell>
          <cell r="C25">
            <v>1</v>
          </cell>
        </row>
        <row r="26">
          <cell r="A26" t="str">
            <v>11-03477-1</v>
          </cell>
        </row>
        <row r="27">
          <cell r="A27" t="str">
            <v>15-01585</v>
          </cell>
        </row>
        <row r="28">
          <cell r="A28" t="str">
            <v>10-00598</v>
          </cell>
        </row>
        <row r="29">
          <cell r="A29" t="str">
            <v>10-01482</v>
          </cell>
        </row>
        <row r="30">
          <cell r="A30" t="str">
            <v>11-02017</v>
          </cell>
        </row>
        <row r="31">
          <cell r="A31" t="str">
            <v>14-01528</v>
          </cell>
        </row>
        <row r="32">
          <cell r="A32" t="str">
            <v>16-02541-1</v>
          </cell>
        </row>
        <row r="33">
          <cell r="A33" t="str">
            <v>16-03048</v>
          </cell>
          <cell r="B33">
            <v>1</v>
          </cell>
          <cell r="C33">
            <v>1</v>
          </cell>
        </row>
        <row r="34">
          <cell r="A34" t="str">
            <v>12-03139</v>
          </cell>
          <cell r="B34">
            <v>1</v>
          </cell>
          <cell r="C34">
            <v>1</v>
          </cell>
        </row>
        <row r="35">
          <cell r="A35" t="str">
            <v>12-02278</v>
          </cell>
          <cell r="B35">
            <v>1</v>
          </cell>
          <cell r="C35">
            <v>1</v>
          </cell>
        </row>
        <row r="36">
          <cell r="A36" t="str">
            <v>12-02856</v>
          </cell>
          <cell r="B36">
            <v>1</v>
          </cell>
          <cell r="C36">
            <v>1</v>
          </cell>
        </row>
        <row r="37">
          <cell r="A37" t="str">
            <v>12-02888</v>
          </cell>
          <cell r="B37">
            <v>1</v>
          </cell>
          <cell r="C37">
            <v>1</v>
          </cell>
        </row>
        <row r="38">
          <cell r="A38" t="str">
            <v>12-02461</v>
          </cell>
          <cell r="B38">
            <v>1</v>
          </cell>
          <cell r="C38">
            <v>1</v>
          </cell>
        </row>
        <row r="39">
          <cell r="A39" t="str">
            <v>12-02895</v>
          </cell>
          <cell r="B39">
            <v>1</v>
          </cell>
          <cell r="C39">
            <v>1</v>
          </cell>
        </row>
        <row r="40">
          <cell r="A40" t="str">
            <v>12-03561-1</v>
          </cell>
          <cell r="B40">
            <v>1</v>
          </cell>
          <cell r="C40">
            <v>1</v>
          </cell>
        </row>
        <row r="41">
          <cell r="A41" t="str">
            <v>12-02846</v>
          </cell>
          <cell r="B41">
            <v>1</v>
          </cell>
          <cell r="C41">
            <v>1</v>
          </cell>
        </row>
        <row r="42">
          <cell r="A42" t="str">
            <v>12-02289</v>
          </cell>
          <cell r="B42">
            <v>1</v>
          </cell>
          <cell r="C42">
            <v>1</v>
          </cell>
        </row>
        <row r="43">
          <cell r="A43" t="str">
            <v>12-03081</v>
          </cell>
          <cell r="B43">
            <v>1</v>
          </cell>
          <cell r="C43">
            <v>1</v>
          </cell>
        </row>
        <row r="44">
          <cell r="A44" t="str">
            <v>12-02600</v>
          </cell>
          <cell r="B44">
            <v>1</v>
          </cell>
          <cell r="C44">
            <v>1</v>
          </cell>
        </row>
        <row r="45">
          <cell r="A45" t="str">
            <v>12-02755</v>
          </cell>
          <cell r="B45">
            <v>1</v>
          </cell>
          <cell r="C45">
            <v>1</v>
          </cell>
        </row>
        <row r="46">
          <cell r="A46" t="str">
            <v>12-02427-1</v>
          </cell>
          <cell r="B46">
            <v>1</v>
          </cell>
          <cell r="C46">
            <v>1</v>
          </cell>
        </row>
        <row r="47">
          <cell r="A47" t="str">
            <v>12-03115</v>
          </cell>
          <cell r="B47">
            <v>1</v>
          </cell>
          <cell r="C47">
            <v>1</v>
          </cell>
        </row>
        <row r="48">
          <cell r="A48" t="str">
            <v>12-02973</v>
          </cell>
          <cell r="B48">
            <v>1</v>
          </cell>
          <cell r="C48">
            <v>1</v>
          </cell>
        </row>
        <row r="49">
          <cell r="A49" t="str">
            <v>16-02597</v>
          </cell>
          <cell r="B49">
            <v>1</v>
          </cell>
          <cell r="C49">
            <v>1</v>
          </cell>
        </row>
        <row r="50">
          <cell r="A50" t="str">
            <v>12-02870</v>
          </cell>
          <cell r="B50">
            <v>1</v>
          </cell>
          <cell r="C50">
            <v>1</v>
          </cell>
        </row>
        <row r="51">
          <cell r="A51" t="str">
            <v>14-03505</v>
          </cell>
          <cell r="B51">
            <v>1</v>
          </cell>
          <cell r="C51">
            <v>1</v>
          </cell>
        </row>
        <row r="52">
          <cell r="A52" t="str">
            <v>12-02230</v>
          </cell>
          <cell r="B52">
            <v>1</v>
          </cell>
          <cell r="C52">
            <v>1</v>
          </cell>
        </row>
        <row r="53">
          <cell r="A53" t="str">
            <v>12-03094</v>
          </cell>
          <cell r="B53">
            <v>1</v>
          </cell>
          <cell r="C53">
            <v>1</v>
          </cell>
        </row>
        <row r="54">
          <cell r="A54" t="str">
            <v>12-02225</v>
          </cell>
          <cell r="B54">
            <v>1</v>
          </cell>
          <cell r="C54">
            <v>1</v>
          </cell>
        </row>
        <row r="55">
          <cell r="A55" t="str">
            <v>12-02354</v>
          </cell>
          <cell r="B55">
            <v>1</v>
          </cell>
          <cell r="C55">
            <v>1</v>
          </cell>
        </row>
        <row r="56">
          <cell r="A56" t="str">
            <v>12-03546</v>
          </cell>
          <cell r="B56">
            <v>1</v>
          </cell>
          <cell r="C56">
            <v>1</v>
          </cell>
        </row>
        <row r="57">
          <cell r="A57" t="str">
            <v>12-00046</v>
          </cell>
          <cell r="B57">
            <v>1</v>
          </cell>
          <cell r="C57">
            <v>1</v>
          </cell>
        </row>
        <row r="58">
          <cell r="A58" t="str">
            <v>12-02627</v>
          </cell>
          <cell r="B58">
            <v>1</v>
          </cell>
          <cell r="C58">
            <v>1</v>
          </cell>
        </row>
        <row r="59">
          <cell r="A59" t="str">
            <v>12-02813</v>
          </cell>
          <cell r="B59">
            <v>1</v>
          </cell>
          <cell r="C59">
            <v>1</v>
          </cell>
        </row>
        <row r="60">
          <cell r="A60" t="str">
            <v>12-03341</v>
          </cell>
        </row>
        <row r="61">
          <cell r="A61" t="str">
            <v>14-02900</v>
          </cell>
        </row>
        <row r="62">
          <cell r="A62" t="str">
            <v>06-00998</v>
          </cell>
        </row>
        <row r="63">
          <cell r="A63" t="str">
            <v>12-03340</v>
          </cell>
        </row>
        <row r="64">
          <cell r="A64" t="str">
            <v>12-03499</v>
          </cell>
        </row>
        <row r="65">
          <cell r="A65" t="str">
            <v>10-00329</v>
          </cell>
        </row>
        <row r="66">
          <cell r="A66" t="str">
            <v>12-01857</v>
          </cell>
        </row>
        <row r="67">
          <cell r="A67" t="str">
            <v>09-03066</v>
          </cell>
        </row>
        <row r="68">
          <cell r="A68" t="str">
            <v>09-01718</v>
          </cell>
        </row>
        <row r="69">
          <cell r="A69" t="str">
            <v>14-01092</v>
          </cell>
        </row>
        <row r="70">
          <cell r="A70" t="str">
            <v>10-03087</v>
          </cell>
          <cell r="B70">
            <v>1</v>
          </cell>
          <cell r="C70">
            <v>1</v>
          </cell>
        </row>
        <row r="71">
          <cell r="A71" t="str">
            <v>12-02858-1</v>
          </cell>
          <cell r="B71">
            <v>1</v>
          </cell>
          <cell r="C71">
            <v>1</v>
          </cell>
        </row>
        <row r="72">
          <cell r="A72" t="str">
            <v>06-01624</v>
          </cell>
          <cell r="B72">
            <v>1</v>
          </cell>
          <cell r="C72">
            <v>1</v>
          </cell>
        </row>
        <row r="73">
          <cell r="A73" t="str">
            <v>11-03330</v>
          </cell>
          <cell r="B73">
            <v>1</v>
          </cell>
          <cell r="C73">
            <v>1</v>
          </cell>
        </row>
        <row r="74">
          <cell r="A74" t="str">
            <v>99-00653</v>
          </cell>
          <cell r="B74">
            <v>1</v>
          </cell>
          <cell r="C74">
            <v>1</v>
          </cell>
        </row>
        <row r="75">
          <cell r="A75" t="str">
            <v>02-03179</v>
          </cell>
          <cell r="B75">
            <v>1</v>
          </cell>
          <cell r="C75">
            <v>1</v>
          </cell>
        </row>
        <row r="76">
          <cell r="A76" t="str">
            <v>98-01155-2</v>
          </cell>
          <cell r="B76">
            <v>1</v>
          </cell>
          <cell r="C76">
            <v>1</v>
          </cell>
        </row>
        <row r="77">
          <cell r="A77" t="str">
            <v>12-00567</v>
          </cell>
          <cell r="B77">
            <v>1</v>
          </cell>
          <cell r="C77">
            <v>1</v>
          </cell>
        </row>
        <row r="78">
          <cell r="A78" t="str">
            <v>10-01257-2</v>
          </cell>
          <cell r="B78">
            <v>1</v>
          </cell>
          <cell r="C78">
            <v>1</v>
          </cell>
        </row>
        <row r="79">
          <cell r="A79" t="str">
            <v>10-01263</v>
          </cell>
          <cell r="B79">
            <v>1</v>
          </cell>
          <cell r="C79">
            <v>1</v>
          </cell>
        </row>
        <row r="80">
          <cell r="A80" t="str">
            <v>11-00668</v>
          </cell>
          <cell r="B80">
            <v>1</v>
          </cell>
          <cell r="C80">
            <v>1</v>
          </cell>
        </row>
        <row r="81">
          <cell r="A81" t="str">
            <v>10-00777</v>
          </cell>
          <cell r="B81">
            <v>1</v>
          </cell>
          <cell r="C81">
            <v>1</v>
          </cell>
        </row>
        <row r="82">
          <cell r="A82" t="str">
            <v>11-00453</v>
          </cell>
          <cell r="B82">
            <v>1</v>
          </cell>
          <cell r="C82">
            <v>1</v>
          </cell>
        </row>
        <row r="83">
          <cell r="A83" t="str">
            <v>12-02831</v>
          </cell>
          <cell r="B83">
            <v>1</v>
          </cell>
          <cell r="C83">
            <v>1</v>
          </cell>
        </row>
        <row r="84">
          <cell r="A84" t="str">
            <v>10-01267</v>
          </cell>
          <cell r="B84">
            <v>1</v>
          </cell>
          <cell r="C84">
            <v>1</v>
          </cell>
        </row>
        <row r="85">
          <cell r="A85" t="str">
            <v>11-02667</v>
          </cell>
          <cell r="B85">
            <v>1</v>
          </cell>
          <cell r="C85">
            <v>1</v>
          </cell>
        </row>
        <row r="86">
          <cell r="A86" t="str">
            <v>10-00249</v>
          </cell>
          <cell r="B86">
            <v>1</v>
          </cell>
          <cell r="C86">
            <v>1</v>
          </cell>
        </row>
        <row r="87">
          <cell r="A87" t="str">
            <v>10-02919</v>
          </cell>
          <cell r="B87">
            <v>1</v>
          </cell>
          <cell r="C87">
            <v>1</v>
          </cell>
        </row>
        <row r="88">
          <cell r="A88" t="str">
            <v>12-00490</v>
          </cell>
          <cell r="B88">
            <v>1</v>
          </cell>
          <cell r="C88">
            <v>1</v>
          </cell>
        </row>
        <row r="89">
          <cell r="A89" t="str">
            <v>10-00729</v>
          </cell>
          <cell r="B89">
            <v>1</v>
          </cell>
          <cell r="C89">
            <v>1</v>
          </cell>
        </row>
        <row r="90">
          <cell r="A90" t="str">
            <v>12-00264</v>
          </cell>
          <cell r="B90">
            <v>1</v>
          </cell>
          <cell r="C90">
            <v>1</v>
          </cell>
        </row>
        <row r="91">
          <cell r="B91" t="str">
            <v>*Y80S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68925-3A45-4CBA-B383-9FB19669BF31}">
  <dimension ref="A1:F91"/>
  <sheetViews>
    <sheetView tabSelected="1" workbookViewId="0">
      <selection activeCell="H17" sqref="H17"/>
    </sheetView>
  </sheetViews>
  <sheetFormatPr baseColWidth="10" defaultRowHeight="15.75" x14ac:dyDescent="0.25"/>
  <cols>
    <col min="1" max="1" width="12" customWidth="1"/>
    <col min="2" max="2" width="19.140625" style="8" customWidth="1"/>
    <col min="3" max="3" width="13.85546875" style="8" customWidth="1"/>
    <col min="4" max="4" width="13.5703125" bestFit="1" customWidth="1"/>
    <col min="5" max="5" width="5.85546875" bestFit="1" customWidth="1"/>
    <col min="6" max="6" width="6.28515625" bestFit="1" customWidth="1"/>
  </cols>
  <sheetData>
    <row r="1" spans="1:6" ht="50.25" x14ac:dyDescent="0.25">
      <c r="A1" s="1" t="s">
        <v>0</v>
      </c>
      <c r="B1" s="4" t="s">
        <v>88</v>
      </c>
      <c r="C1" s="5" t="s">
        <v>93</v>
      </c>
      <c r="D1" s="4" t="s">
        <v>94</v>
      </c>
      <c r="E1" s="4" t="s">
        <v>96</v>
      </c>
      <c r="F1" s="4" t="s">
        <v>97</v>
      </c>
    </row>
    <row r="2" spans="1:6" x14ac:dyDescent="0.25">
      <c r="A2" s="2" t="s">
        <v>1</v>
      </c>
      <c r="B2" s="6">
        <v>1</v>
      </c>
      <c r="C2" s="6" t="s">
        <v>89</v>
      </c>
      <c r="D2" s="2" t="s">
        <v>91</v>
      </c>
      <c r="E2" s="2"/>
      <c r="F2" s="2"/>
    </row>
    <row r="3" spans="1:6" x14ac:dyDescent="0.25">
      <c r="A3" s="2" t="s">
        <v>2</v>
      </c>
      <c r="B3" s="6">
        <v>1</v>
      </c>
      <c r="C3" s="6" t="s">
        <v>89</v>
      </c>
      <c r="D3" s="2" t="s">
        <v>91</v>
      </c>
      <c r="E3" s="2"/>
      <c r="F3" s="2"/>
    </row>
    <row r="4" spans="1:6" x14ac:dyDescent="0.25">
      <c r="A4" s="2" t="s">
        <v>3</v>
      </c>
      <c r="B4" s="6">
        <v>1</v>
      </c>
      <c r="C4" s="6" t="s">
        <v>89</v>
      </c>
      <c r="D4" s="2" t="s">
        <v>91</v>
      </c>
      <c r="E4" s="2"/>
      <c r="F4" s="2"/>
    </row>
    <row r="5" spans="1:6" x14ac:dyDescent="0.25">
      <c r="A5" s="2" t="s">
        <v>4</v>
      </c>
      <c r="B5" s="6">
        <v>0.5</v>
      </c>
      <c r="C5" s="6" t="s">
        <v>89</v>
      </c>
      <c r="D5" s="2" t="s">
        <v>91</v>
      </c>
      <c r="E5" s="2"/>
      <c r="F5" s="2"/>
    </row>
    <row r="6" spans="1:6" x14ac:dyDescent="0.25">
      <c r="A6" s="2" t="s">
        <v>5</v>
      </c>
      <c r="B6" s="6">
        <v>0.5</v>
      </c>
      <c r="C6" s="6" t="s">
        <v>89</v>
      </c>
      <c r="D6" s="2" t="s">
        <v>92</v>
      </c>
      <c r="E6" s="2" t="s">
        <v>95</v>
      </c>
      <c r="F6" s="2" t="s">
        <v>95</v>
      </c>
    </row>
    <row r="7" spans="1:6" x14ac:dyDescent="0.25">
      <c r="A7" s="2" t="s">
        <v>6</v>
      </c>
      <c r="B7" s="6">
        <v>0.5</v>
      </c>
      <c r="C7" s="6" t="s">
        <v>89</v>
      </c>
      <c r="D7" s="2" t="s">
        <v>92</v>
      </c>
      <c r="E7" s="2" t="s">
        <v>95</v>
      </c>
      <c r="F7" s="2" t="s">
        <v>95</v>
      </c>
    </row>
    <row r="8" spans="1:6" x14ac:dyDescent="0.25">
      <c r="A8" s="2" t="s">
        <v>7</v>
      </c>
      <c r="B8" s="6">
        <v>0.5</v>
      </c>
      <c r="C8" s="6" t="s">
        <v>89</v>
      </c>
      <c r="D8" s="2" t="s">
        <v>92</v>
      </c>
      <c r="E8" s="2" t="s">
        <v>95</v>
      </c>
      <c r="F8" s="2" t="s">
        <v>95</v>
      </c>
    </row>
    <row r="9" spans="1:6" x14ac:dyDescent="0.25">
      <c r="A9" s="2" t="s">
        <v>8</v>
      </c>
      <c r="B9" s="7">
        <v>0.125</v>
      </c>
      <c r="C9" s="6" t="s">
        <v>89</v>
      </c>
      <c r="D9" s="2" t="s">
        <v>91</v>
      </c>
      <c r="E9" s="2"/>
      <c r="F9" s="2"/>
    </row>
    <row r="10" spans="1:6" x14ac:dyDescent="0.25">
      <c r="A10" s="2" t="s">
        <v>9</v>
      </c>
      <c r="B10" s="7">
        <v>0.125</v>
      </c>
      <c r="C10" s="6" t="s">
        <v>89</v>
      </c>
      <c r="D10" s="2" t="s">
        <v>91</v>
      </c>
      <c r="E10" s="2"/>
      <c r="F10" s="2"/>
    </row>
    <row r="11" spans="1:6" x14ac:dyDescent="0.25">
      <c r="A11" s="2" t="s">
        <v>10</v>
      </c>
      <c r="B11" s="7">
        <v>0.125</v>
      </c>
      <c r="C11" s="6" t="s">
        <v>89</v>
      </c>
      <c r="D11" s="2" t="s">
        <v>91</v>
      </c>
      <c r="E11" s="2"/>
      <c r="F11" s="2"/>
    </row>
    <row r="12" spans="1:6" x14ac:dyDescent="0.25">
      <c r="A12" s="2" t="s">
        <v>11</v>
      </c>
      <c r="B12" s="7">
        <v>0.125</v>
      </c>
      <c r="C12" s="6" t="s">
        <v>89</v>
      </c>
      <c r="D12" s="2" t="s">
        <v>91</v>
      </c>
      <c r="E12" s="2"/>
      <c r="F12" s="2"/>
    </row>
    <row r="13" spans="1:6" x14ac:dyDescent="0.25">
      <c r="A13" s="2" t="s">
        <v>12</v>
      </c>
      <c r="B13" s="7">
        <v>0.125</v>
      </c>
      <c r="C13" s="6" t="s">
        <v>89</v>
      </c>
      <c r="D13" s="2" t="s">
        <v>91</v>
      </c>
      <c r="E13" s="2"/>
      <c r="F13" s="2"/>
    </row>
    <row r="14" spans="1:6" x14ac:dyDescent="0.25">
      <c r="A14" s="2" t="s">
        <v>13</v>
      </c>
      <c r="B14" s="6">
        <v>2</v>
      </c>
      <c r="C14" s="6" t="s">
        <v>90</v>
      </c>
      <c r="D14" s="2" t="s">
        <v>91</v>
      </c>
      <c r="E14" s="2"/>
      <c r="F14" s="2"/>
    </row>
    <row r="15" spans="1:6" x14ac:dyDescent="0.25">
      <c r="A15" s="2" t="s">
        <v>14</v>
      </c>
      <c r="B15" s="6">
        <v>1</v>
      </c>
      <c r="C15" s="6" t="s">
        <v>89</v>
      </c>
      <c r="D15" s="2" t="s">
        <v>92</v>
      </c>
      <c r="E15" s="2"/>
      <c r="F15" s="2" t="s">
        <v>95</v>
      </c>
    </row>
    <row r="16" spans="1:6" x14ac:dyDescent="0.25">
      <c r="A16" s="2" t="s">
        <v>15</v>
      </c>
      <c r="B16" s="6">
        <v>0.5</v>
      </c>
      <c r="C16" s="6" t="s">
        <v>89</v>
      </c>
      <c r="D16" s="2" t="s">
        <v>92</v>
      </c>
      <c r="E16" s="2"/>
      <c r="F16" s="2" t="s">
        <v>95</v>
      </c>
    </row>
    <row r="17" spans="1:6" x14ac:dyDescent="0.25">
      <c r="A17" s="2" t="s">
        <v>16</v>
      </c>
      <c r="B17" s="6">
        <v>2</v>
      </c>
      <c r="C17" s="6" t="s">
        <v>90</v>
      </c>
      <c r="D17" s="2" t="s">
        <v>92</v>
      </c>
      <c r="E17" s="2" t="s">
        <v>95</v>
      </c>
      <c r="F17" s="2" t="s">
        <v>95</v>
      </c>
    </row>
    <row r="18" spans="1:6" x14ac:dyDescent="0.25">
      <c r="A18" s="2" t="s">
        <v>17</v>
      </c>
      <c r="B18" s="6">
        <v>2</v>
      </c>
      <c r="C18" s="6" t="s">
        <v>90</v>
      </c>
      <c r="D18" s="2" t="s">
        <v>92</v>
      </c>
      <c r="E18" s="2" t="s">
        <v>95</v>
      </c>
      <c r="F18" s="2" t="s">
        <v>95</v>
      </c>
    </row>
    <row r="19" spans="1:6" x14ac:dyDescent="0.25">
      <c r="A19" s="2" t="s">
        <v>18</v>
      </c>
      <c r="B19" s="6">
        <v>2</v>
      </c>
      <c r="C19" s="6" t="s">
        <v>90</v>
      </c>
      <c r="D19" s="2" t="s">
        <v>92</v>
      </c>
      <c r="E19" s="2" t="s">
        <v>95</v>
      </c>
      <c r="F19" s="2" t="s">
        <v>95</v>
      </c>
    </row>
    <row r="20" spans="1:6" x14ac:dyDescent="0.25">
      <c r="A20" s="2" t="s">
        <v>19</v>
      </c>
      <c r="B20" s="6">
        <v>2</v>
      </c>
      <c r="C20" s="6" t="s">
        <v>90</v>
      </c>
      <c r="D20" s="2" t="s">
        <v>92</v>
      </c>
      <c r="E20" s="2" t="s">
        <v>95</v>
      </c>
      <c r="F20" s="2" t="s">
        <v>95</v>
      </c>
    </row>
    <row r="21" spans="1:6" x14ac:dyDescent="0.25">
      <c r="A21" s="2" t="s">
        <v>20</v>
      </c>
      <c r="B21" s="6">
        <v>2</v>
      </c>
      <c r="C21" s="6" t="s">
        <v>90</v>
      </c>
      <c r="D21" s="2" t="s">
        <v>92</v>
      </c>
      <c r="E21" s="2" t="s">
        <v>95</v>
      </c>
      <c r="F21" s="2" t="s">
        <v>95</v>
      </c>
    </row>
    <row r="22" spans="1:6" x14ac:dyDescent="0.25">
      <c r="A22" s="2" t="s">
        <v>21</v>
      </c>
      <c r="B22" s="6">
        <v>2</v>
      </c>
      <c r="C22" s="6" t="s">
        <v>90</v>
      </c>
      <c r="D22" s="2" t="s">
        <v>92</v>
      </c>
      <c r="E22" s="2" t="s">
        <v>95</v>
      </c>
      <c r="F22" s="2" t="s">
        <v>95</v>
      </c>
    </row>
    <row r="23" spans="1:6" x14ac:dyDescent="0.25">
      <c r="A23" s="2" t="s">
        <v>22</v>
      </c>
      <c r="B23" s="6">
        <v>2</v>
      </c>
      <c r="C23" s="6" t="s">
        <v>90</v>
      </c>
      <c r="D23" s="2" t="s">
        <v>92</v>
      </c>
      <c r="E23" s="2" t="s">
        <v>95</v>
      </c>
      <c r="F23" s="2" t="s">
        <v>95</v>
      </c>
    </row>
    <row r="24" spans="1:6" x14ac:dyDescent="0.25">
      <c r="A24" s="2" t="s">
        <v>23</v>
      </c>
      <c r="B24" s="6">
        <v>2</v>
      </c>
      <c r="C24" s="6" t="s">
        <v>90</v>
      </c>
      <c r="D24" s="2" t="s">
        <v>92</v>
      </c>
      <c r="E24" s="2" t="s">
        <v>95</v>
      </c>
      <c r="F24" s="2" t="s">
        <v>95</v>
      </c>
    </row>
    <row r="25" spans="1:6" x14ac:dyDescent="0.25">
      <c r="A25" s="2" t="s">
        <v>24</v>
      </c>
      <c r="B25" s="6">
        <v>2</v>
      </c>
      <c r="C25" s="6" t="s">
        <v>90</v>
      </c>
      <c r="D25" s="2" t="s">
        <v>92</v>
      </c>
      <c r="E25" s="2" t="s">
        <v>95</v>
      </c>
      <c r="F25" s="2" t="s">
        <v>95</v>
      </c>
    </row>
    <row r="26" spans="1:6" x14ac:dyDescent="0.25">
      <c r="A26" s="2" t="s">
        <v>25</v>
      </c>
      <c r="B26" s="6">
        <v>2</v>
      </c>
      <c r="C26" s="6" t="s">
        <v>90</v>
      </c>
      <c r="D26" s="2" t="s">
        <v>92</v>
      </c>
      <c r="E26" s="2" t="s">
        <v>95</v>
      </c>
      <c r="F26" s="2" t="s">
        <v>95</v>
      </c>
    </row>
    <row r="27" spans="1:6" x14ac:dyDescent="0.25">
      <c r="A27" s="2" t="s">
        <v>26</v>
      </c>
      <c r="B27" s="6">
        <v>1</v>
      </c>
      <c r="C27" s="6" t="s">
        <v>89</v>
      </c>
      <c r="D27" s="2" t="s">
        <v>92</v>
      </c>
      <c r="E27" s="2" t="s">
        <v>95</v>
      </c>
      <c r="F27" s="2" t="s">
        <v>95</v>
      </c>
    </row>
    <row r="28" spans="1:6" x14ac:dyDescent="0.25">
      <c r="A28" s="2" t="s">
        <v>27</v>
      </c>
      <c r="B28" s="6">
        <v>1</v>
      </c>
      <c r="C28" s="6" t="s">
        <v>89</v>
      </c>
      <c r="D28" s="2" t="s">
        <v>92</v>
      </c>
      <c r="E28" s="2" t="s">
        <v>95</v>
      </c>
      <c r="F28" s="2" t="s">
        <v>95</v>
      </c>
    </row>
    <row r="29" spans="1:6" x14ac:dyDescent="0.25">
      <c r="A29" s="2" t="s">
        <v>28</v>
      </c>
      <c r="B29" s="6">
        <v>1</v>
      </c>
      <c r="C29" s="6" t="s">
        <v>89</v>
      </c>
      <c r="D29" s="2" t="s">
        <v>92</v>
      </c>
      <c r="E29" s="2" t="s">
        <v>95</v>
      </c>
      <c r="F29" s="2" t="s">
        <v>95</v>
      </c>
    </row>
    <row r="30" spans="1:6" x14ac:dyDescent="0.25">
      <c r="A30" s="2" t="s">
        <v>29</v>
      </c>
      <c r="B30" s="6">
        <v>0.25</v>
      </c>
      <c r="C30" s="6" t="s">
        <v>89</v>
      </c>
      <c r="D30" s="2" t="s">
        <v>91</v>
      </c>
      <c r="E30" s="2"/>
      <c r="F30" s="2"/>
    </row>
    <row r="31" spans="1:6" x14ac:dyDescent="0.25">
      <c r="A31" s="2" t="s">
        <v>30</v>
      </c>
      <c r="B31" s="6">
        <v>0.25</v>
      </c>
      <c r="C31" s="6" t="s">
        <v>89</v>
      </c>
      <c r="D31" s="2" t="s">
        <v>91</v>
      </c>
      <c r="E31" s="2"/>
      <c r="F31" s="2"/>
    </row>
    <row r="32" spans="1:6" x14ac:dyDescent="0.25">
      <c r="A32" s="2" t="s">
        <v>31</v>
      </c>
      <c r="B32" s="6">
        <v>0.25</v>
      </c>
      <c r="C32" s="6" t="s">
        <v>89</v>
      </c>
      <c r="D32" s="2" t="s">
        <v>91</v>
      </c>
      <c r="E32" s="2"/>
      <c r="F32" s="2"/>
    </row>
    <row r="33" spans="1:6" x14ac:dyDescent="0.25">
      <c r="A33" s="2" t="s">
        <v>32</v>
      </c>
      <c r="B33" s="6">
        <v>0.25</v>
      </c>
      <c r="C33" s="6" t="s">
        <v>89</v>
      </c>
      <c r="D33" s="2" t="s">
        <v>91</v>
      </c>
      <c r="E33" s="2"/>
      <c r="F33" s="2"/>
    </row>
    <row r="34" spans="1:6" x14ac:dyDescent="0.25">
      <c r="A34" s="2" t="s">
        <v>33</v>
      </c>
      <c r="B34" s="7">
        <v>0.125</v>
      </c>
      <c r="C34" s="6" t="s">
        <v>89</v>
      </c>
      <c r="D34" s="2" t="s">
        <v>91</v>
      </c>
      <c r="E34" s="2"/>
      <c r="F34" s="2"/>
    </row>
    <row r="35" spans="1:6" x14ac:dyDescent="0.25">
      <c r="A35" s="2" t="s">
        <v>34</v>
      </c>
      <c r="B35" s="7">
        <v>0.125</v>
      </c>
      <c r="C35" s="6" t="s">
        <v>89</v>
      </c>
      <c r="D35" s="2" t="s">
        <v>91</v>
      </c>
      <c r="E35" s="2"/>
      <c r="F35" s="2"/>
    </row>
    <row r="36" spans="1:6" x14ac:dyDescent="0.25">
      <c r="A36" s="2" t="s">
        <v>35</v>
      </c>
      <c r="B36" s="6">
        <v>2</v>
      </c>
      <c r="C36" s="6" t="s">
        <v>90</v>
      </c>
      <c r="D36" s="2" t="s">
        <v>91</v>
      </c>
      <c r="E36" s="2"/>
      <c r="F36" s="2"/>
    </row>
    <row r="37" spans="1:6" x14ac:dyDescent="0.25">
      <c r="A37" s="2" t="s">
        <v>36</v>
      </c>
      <c r="B37" s="6">
        <v>1</v>
      </c>
      <c r="C37" s="6" t="s">
        <v>89</v>
      </c>
      <c r="D37" s="2" t="s">
        <v>91</v>
      </c>
      <c r="E37" s="2"/>
      <c r="F37" s="2"/>
    </row>
    <row r="38" spans="1:6" x14ac:dyDescent="0.25">
      <c r="A38" s="2" t="s">
        <v>37</v>
      </c>
      <c r="B38" s="6">
        <v>0.5</v>
      </c>
      <c r="C38" s="6" t="s">
        <v>89</v>
      </c>
      <c r="D38" s="2" t="s">
        <v>91</v>
      </c>
      <c r="E38" s="2"/>
      <c r="F38" s="2"/>
    </row>
    <row r="39" spans="1:6" x14ac:dyDescent="0.25">
      <c r="A39" s="2" t="s">
        <v>38</v>
      </c>
      <c r="B39" s="7">
        <v>0.125</v>
      </c>
      <c r="C39" s="6" t="s">
        <v>89</v>
      </c>
      <c r="D39" s="2" t="s">
        <v>91</v>
      </c>
      <c r="E39" s="2"/>
      <c r="F39" s="2"/>
    </row>
    <row r="40" spans="1:6" x14ac:dyDescent="0.25">
      <c r="A40" s="2" t="s">
        <v>39</v>
      </c>
      <c r="B40" s="7">
        <v>6.3E-2</v>
      </c>
      <c r="C40" s="6" t="s">
        <v>89</v>
      </c>
      <c r="D40" s="2" t="s">
        <v>91</v>
      </c>
      <c r="E40" s="2"/>
      <c r="F40" s="2"/>
    </row>
    <row r="41" spans="1:6" x14ac:dyDescent="0.25">
      <c r="A41" s="2" t="s">
        <v>40</v>
      </c>
      <c r="B41" s="7">
        <v>6.3E-2</v>
      </c>
      <c r="C41" s="6" t="s">
        <v>89</v>
      </c>
      <c r="D41" s="2" t="s">
        <v>91</v>
      </c>
      <c r="E41" s="2"/>
      <c r="F41" s="2"/>
    </row>
    <row r="42" spans="1:6" x14ac:dyDescent="0.25">
      <c r="A42" s="2" t="s">
        <v>41</v>
      </c>
      <c r="B42" s="6">
        <v>4</v>
      </c>
      <c r="C42" s="6" t="s">
        <v>90</v>
      </c>
      <c r="D42" s="2" t="s">
        <v>92</v>
      </c>
      <c r="E42" s="2" t="s">
        <v>95</v>
      </c>
      <c r="F42" s="2" t="s">
        <v>95</v>
      </c>
    </row>
    <row r="43" spans="1:6" x14ac:dyDescent="0.25">
      <c r="A43" s="2" t="s">
        <v>42</v>
      </c>
      <c r="B43" s="6">
        <v>4</v>
      </c>
      <c r="C43" s="6" t="s">
        <v>90</v>
      </c>
      <c r="D43" s="2" t="s">
        <v>92</v>
      </c>
      <c r="E43" s="2" t="s">
        <v>95</v>
      </c>
      <c r="F43" s="2" t="s">
        <v>95</v>
      </c>
    </row>
    <row r="44" spans="1:6" x14ac:dyDescent="0.25">
      <c r="A44" s="2" t="s">
        <v>43</v>
      </c>
      <c r="B44" s="6">
        <v>4</v>
      </c>
      <c r="C44" s="6" t="s">
        <v>90</v>
      </c>
      <c r="D44" s="2" t="s">
        <v>92</v>
      </c>
      <c r="E44" s="2" t="s">
        <v>95</v>
      </c>
      <c r="F44" s="2" t="s">
        <v>95</v>
      </c>
    </row>
    <row r="45" spans="1:6" x14ac:dyDescent="0.25">
      <c r="A45" s="2" t="s">
        <v>44</v>
      </c>
      <c r="B45" s="6">
        <v>4</v>
      </c>
      <c r="C45" s="6" t="s">
        <v>90</v>
      </c>
      <c r="D45" s="2" t="s">
        <v>92</v>
      </c>
      <c r="E45" s="2" t="s">
        <v>95</v>
      </c>
      <c r="F45" s="2" t="s">
        <v>95</v>
      </c>
    </row>
    <row r="46" spans="1:6" x14ac:dyDescent="0.25">
      <c r="A46" s="2" t="s">
        <v>45</v>
      </c>
      <c r="B46" s="6">
        <v>4</v>
      </c>
      <c r="C46" s="6" t="s">
        <v>90</v>
      </c>
      <c r="D46" s="2" t="s">
        <v>92</v>
      </c>
      <c r="E46" s="2" t="s">
        <v>95</v>
      </c>
      <c r="F46" s="2" t="s">
        <v>95</v>
      </c>
    </row>
    <row r="47" spans="1:6" x14ac:dyDescent="0.25">
      <c r="A47" s="2" t="s">
        <v>46</v>
      </c>
      <c r="B47" s="6">
        <v>4</v>
      </c>
      <c r="C47" s="6" t="s">
        <v>90</v>
      </c>
      <c r="D47" s="2" t="s">
        <v>92</v>
      </c>
      <c r="E47" s="2" t="s">
        <v>95</v>
      </c>
      <c r="F47" s="2" t="s">
        <v>95</v>
      </c>
    </row>
    <row r="48" spans="1:6" x14ac:dyDescent="0.25">
      <c r="A48" s="2" t="s">
        <v>47</v>
      </c>
      <c r="B48" s="6">
        <v>4</v>
      </c>
      <c r="C48" s="6" t="s">
        <v>90</v>
      </c>
      <c r="D48" s="2" t="s">
        <v>92</v>
      </c>
      <c r="E48" s="2" t="s">
        <v>95</v>
      </c>
      <c r="F48" s="2" t="s">
        <v>95</v>
      </c>
    </row>
    <row r="49" spans="1:6" x14ac:dyDescent="0.25">
      <c r="A49" s="2" t="s">
        <v>48</v>
      </c>
      <c r="B49" s="6">
        <v>4</v>
      </c>
      <c r="C49" s="6" t="s">
        <v>90</v>
      </c>
      <c r="D49" s="2" t="s">
        <v>92</v>
      </c>
      <c r="E49" s="2" t="s">
        <v>95</v>
      </c>
      <c r="F49" s="2" t="s">
        <v>95</v>
      </c>
    </row>
    <row r="50" spans="1:6" x14ac:dyDescent="0.25">
      <c r="A50" s="2" t="s">
        <v>49</v>
      </c>
      <c r="B50" s="7">
        <v>0.125</v>
      </c>
      <c r="C50" s="6" t="s">
        <v>89</v>
      </c>
      <c r="D50" s="2" t="s">
        <v>91</v>
      </c>
      <c r="E50" s="2"/>
      <c r="F50" s="2"/>
    </row>
    <row r="51" spans="1:6" x14ac:dyDescent="0.25">
      <c r="A51" s="2" t="s">
        <v>50</v>
      </c>
      <c r="B51" s="6">
        <v>4</v>
      </c>
      <c r="C51" s="6" t="s">
        <v>90</v>
      </c>
      <c r="D51" s="2" t="s">
        <v>92</v>
      </c>
      <c r="E51" s="2" t="s">
        <v>95</v>
      </c>
      <c r="F51" s="2" t="s">
        <v>95</v>
      </c>
    </row>
    <row r="52" spans="1:6" x14ac:dyDescent="0.25">
      <c r="A52" s="2" t="s">
        <v>51</v>
      </c>
      <c r="B52" s="6">
        <v>2</v>
      </c>
      <c r="C52" s="6" t="s">
        <v>90</v>
      </c>
      <c r="D52" s="2" t="s">
        <v>92</v>
      </c>
      <c r="E52" s="2" t="s">
        <v>95</v>
      </c>
      <c r="F52" s="2" t="s">
        <v>95</v>
      </c>
    </row>
    <row r="53" spans="1:6" x14ac:dyDescent="0.25">
      <c r="A53" s="2" t="s">
        <v>52</v>
      </c>
      <c r="B53" s="6">
        <v>2</v>
      </c>
      <c r="C53" s="6" t="s">
        <v>90</v>
      </c>
      <c r="D53" s="2" t="s">
        <v>92</v>
      </c>
      <c r="E53" s="2" t="s">
        <v>95</v>
      </c>
      <c r="F53" s="2" t="s">
        <v>95</v>
      </c>
    </row>
    <row r="54" spans="1:6" x14ac:dyDescent="0.25">
      <c r="A54" s="2" t="s">
        <v>53</v>
      </c>
      <c r="B54" s="6">
        <v>2</v>
      </c>
      <c r="C54" s="6" t="s">
        <v>90</v>
      </c>
      <c r="D54" s="2" t="s">
        <v>92</v>
      </c>
      <c r="E54" s="2" t="s">
        <v>95</v>
      </c>
      <c r="F54" s="2" t="s">
        <v>95</v>
      </c>
    </row>
    <row r="55" spans="1:6" x14ac:dyDescent="0.25">
      <c r="A55" s="2" t="s">
        <v>54</v>
      </c>
      <c r="B55" s="6">
        <v>2</v>
      </c>
      <c r="C55" s="6" t="s">
        <v>90</v>
      </c>
      <c r="D55" s="2" t="s">
        <v>92</v>
      </c>
      <c r="E55" s="2" t="s">
        <v>95</v>
      </c>
      <c r="F55" s="2" t="s">
        <v>95</v>
      </c>
    </row>
    <row r="56" spans="1:6" x14ac:dyDescent="0.25">
      <c r="A56" s="2" t="s">
        <v>55</v>
      </c>
      <c r="B56" s="6">
        <v>2</v>
      </c>
      <c r="C56" s="6" t="s">
        <v>90</v>
      </c>
      <c r="D56" s="2" t="s">
        <v>92</v>
      </c>
      <c r="E56" s="2" t="s">
        <v>95</v>
      </c>
      <c r="F56" s="2" t="s">
        <v>95</v>
      </c>
    </row>
    <row r="57" spans="1:6" x14ac:dyDescent="0.25">
      <c r="A57" s="2" t="s">
        <v>56</v>
      </c>
      <c r="B57" s="6">
        <v>1</v>
      </c>
      <c r="C57" s="6" t="s">
        <v>89</v>
      </c>
      <c r="D57" s="2" t="s">
        <v>92</v>
      </c>
      <c r="E57" s="2" t="s">
        <v>95</v>
      </c>
      <c r="F57" s="2" t="s">
        <v>95</v>
      </c>
    </row>
    <row r="58" spans="1:6" x14ac:dyDescent="0.25">
      <c r="A58" s="2" t="s">
        <v>57</v>
      </c>
      <c r="B58" s="6">
        <v>1</v>
      </c>
      <c r="C58" s="6" t="s">
        <v>89</v>
      </c>
      <c r="D58" s="2" t="s">
        <v>92</v>
      </c>
      <c r="E58" s="2" t="s">
        <v>95</v>
      </c>
      <c r="F58" s="2" t="s">
        <v>95</v>
      </c>
    </row>
    <row r="59" spans="1:6" x14ac:dyDescent="0.25">
      <c r="A59" s="2" t="s">
        <v>58</v>
      </c>
      <c r="B59" s="6">
        <v>1</v>
      </c>
      <c r="C59" s="6" t="s">
        <v>89</v>
      </c>
      <c r="D59" s="2" t="s">
        <v>92</v>
      </c>
      <c r="E59" s="2" t="s">
        <v>95</v>
      </c>
      <c r="F59" s="2" t="s">
        <v>95</v>
      </c>
    </row>
    <row r="60" spans="1:6" x14ac:dyDescent="0.25">
      <c r="A60" s="2" t="s">
        <v>59</v>
      </c>
      <c r="B60" s="6">
        <v>1</v>
      </c>
      <c r="C60" s="6" t="s">
        <v>89</v>
      </c>
      <c r="D60" s="2" t="s">
        <v>92</v>
      </c>
      <c r="E60" s="2" t="s">
        <v>95</v>
      </c>
      <c r="F60" s="2" t="s">
        <v>95</v>
      </c>
    </row>
    <row r="61" spans="1:6" x14ac:dyDescent="0.25">
      <c r="A61" s="2" t="s">
        <v>60</v>
      </c>
      <c r="B61" s="6">
        <v>1</v>
      </c>
      <c r="C61" s="6" t="s">
        <v>89</v>
      </c>
      <c r="D61" s="2" t="s">
        <v>92</v>
      </c>
      <c r="E61" s="2" t="s">
        <v>95</v>
      </c>
      <c r="F61" s="2" t="s">
        <v>95</v>
      </c>
    </row>
    <row r="62" spans="1:6" x14ac:dyDescent="0.25">
      <c r="A62" s="2" t="s">
        <v>61</v>
      </c>
      <c r="B62" s="6">
        <v>0.5</v>
      </c>
      <c r="C62" s="6" t="s">
        <v>89</v>
      </c>
      <c r="D62" s="2" t="s">
        <v>92</v>
      </c>
      <c r="E62" s="2" t="s">
        <v>95</v>
      </c>
      <c r="F62" s="2" t="s">
        <v>95</v>
      </c>
    </row>
    <row r="63" spans="1:6" x14ac:dyDescent="0.25">
      <c r="A63" s="2" t="s">
        <v>62</v>
      </c>
      <c r="B63" s="6">
        <v>0.25</v>
      </c>
      <c r="C63" s="6" t="s">
        <v>89</v>
      </c>
      <c r="D63" s="2" t="s">
        <v>91</v>
      </c>
      <c r="E63" s="2" t="s">
        <v>95</v>
      </c>
      <c r="F63" s="2" t="s">
        <v>95</v>
      </c>
    </row>
    <row r="64" spans="1:6" x14ac:dyDescent="0.25">
      <c r="A64" s="2" t="s">
        <v>63</v>
      </c>
      <c r="B64" s="6">
        <v>4</v>
      </c>
      <c r="C64" s="6" t="s">
        <v>90</v>
      </c>
      <c r="D64" s="2" t="s">
        <v>92</v>
      </c>
      <c r="E64" s="2" t="s">
        <v>95</v>
      </c>
      <c r="F64" s="2" t="s">
        <v>95</v>
      </c>
    </row>
    <row r="65" spans="1:6" x14ac:dyDescent="0.25">
      <c r="A65" s="2" t="s">
        <v>64</v>
      </c>
      <c r="B65" s="6">
        <v>4</v>
      </c>
      <c r="C65" s="6" t="s">
        <v>90</v>
      </c>
      <c r="D65" s="2" t="s">
        <v>92</v>
      </c>
      <c r="E65" s="2" t="s">
        <v>95</v>
      </c>
      <c r="F65" s="2" t="s">
        <v>95</v>
      </c>
    </row>
    <row r="66" spans="1:6" x14ac:dyDescent="0.25">
      <c r="A66" s="2" t="s">
        <v>65</v>
      </c>
      <c r="B66" s="6">
        <v>4</v>
      </c>
      <c r="C66" s="6" t="s">
        <v>90</v>
      </c>
      <c r="D66" s="2" t="s">
        <v>92</v>
      </c>
      <c r="E66" s="2" t="s">
        <v>95</v>
      </c>
      <c r="F66" s="2" t="s">
        <v>95</v>
      </c>
    </row>
    <row r="67" spans="1:6" x14ac:dyDescent="0.25">
      <c r="A67" s="2" t="s">
        <v>66</v>
      </c>
      <c r="B67" s="6">
        <v>4</v>
      </c>
      <c r="C67" s="6" t="s">
        <v>90</v>
      </c>
      <c r="D67" s="2" t="s">
        <v>92</v>
      </c>
      <c r="E67" s="2" t="s">
        <v>95</v>
      </c>
      <c r="F67" s="2" t="s">
        <v>95</v>
      </c>
    </row>
    <row r="68" spans="1:6" x14ac:dyDescent="0.25">
      <c r="A68" s="2" t="s">
        <v>67</v>
      </c>
      <c r="B68" s="6">
        <v>4</v>
      </c>
      <c r="C68" s="6" t="s">
        <v>90</v>
      </c>
      <c r="D68" s="2" t="s">
        <v>92</v>
      </c>
      <c r="E68" s="2" t="s">
        <v>95</v>
      </c>
      <c r="F68" s="2" t="s">
        <v>95</v>
      </c>
    </row>
    <row r="69" spans="1:6" x14ac:dyDescent="0.25">
      <c r="A69" s="2" t="s">
        <v>68</v>
      </c>
      <c r="B69" s="6">
        <v>2</v>
      </c>
      <c r="C69" s="6" t="s">
        <v>90</v>
      </c>
      <c r="D69" s="2" t="s">
        <v>92</v>
      </c>
      <c r="E69" s="2" t="s">
        <v>95</v>
      </c>
      <c r="F69" s="2" t="s">
        <v>95</v>
      </c>
    </row>
    <row r="70" spans="1:6" x14ac:dyDescent="0.25">
      <c r="A70" s="2" t="s">
        <v>69</v>
      </c>
      <c r="B70" s="6">
        <v>2</v>
      </c>
      <c r="C70" s="6" t="s">
        <v>90</v>
      </c>
      <c r="D70" s="2" t="s">
        <v>92</v>
      </c>
      <c r="E70" s="2" t="s">
        <v>95</v>
      </c>
      <c r="F70" s="2" t="s">
        <v>95</v>
      </c>
    </row>
    <row r="71" spans="1:6" x14ac:dyDescent="0.25">
      <c r="A71" s="2" t="s">
        <v>70</v>
      </c>
      <c r="B71" s="6">
        <v>2</v>
      </c>
      <c r="C71" s="6" t="s">
        <v>90</v>
      </c>
      <c r="D71" s="2" t="s">
        <v>92</v>
      </c>
      <c r="E71" s="2" t="s">
        <v>95</v>
      </c>
      <c r="F71" s="2" t="s">
        <v>95</v>
      </c>
    </row>
    <row r="72" spans="1:6" x14ac:dyDescent="0.25">
      <c r="A72" s="2" t="s">
        <v>71</v>
      </c>
      <c r="B72" s="6">
        <v>2</v>
      </c>
      <c r="C72" s="6" t="s">
        <v>90</v>
      </c>
      <c r="D72" s="2" t="s">
        <v>92</v>
      </c>
      <c r="E72" s="2" t="s">
        <v>95</v>
      </c>
      <c r="F72" s="2" t="s">
        <v>95</v>
      </c>
    </row>
    <row r="73" spans="1:6" x14ac:dyDescent="0.25">
      <c r="A73" s="2" t="s">
        <v>72</v>
      </c>
      <c r="B73" s="6">
        <v>2</v>
      </c>
      <c r="C73" s="6" t="s">
        <v>90</v>
      </c>
      <c r="D73" s="2" t="s">
        <v>92</v>
      </c>
      <c r="E73" s="2" t="s">
        <v>95</v>
      </c>
      <c r="F73" s="2" t="s">
        <v>95</v>
      </c>
    </row>
    <row r="74" spans="1:6" x14ac:dyDescent="0.25">
      <c r="A74" s="2" t="s">
        <v>73</v>
      </c>
      <c r="B74" s="6">
        <v>1</v>
      </c>
      <c r="C74" s="6" t="s">
        <v>89</v>
      </c>
      <c r="D74" s="2" t="s">
        <v>92</v>
      </c>
      <c r="E74" s="2" t="s">
        <v>95</v>
      </c>
      <c r="F74" s="2" t="s">
        <v>95</v>
      </c>
    </row>
    <row r="75" spans="1:6" x14ac:dyDescent="0.25">
      <c r="A75" s="2" t="s">
        <v>74</v>
      </c>
      <c r="B75" s="6">
        <v>4</v>
      </c>
      <c r="C75" s="6" t="s">
        <v>90</v>
      </c>
      <c r="D75" s="2" t="s">
        <v>92</v>
      </c>
      <c r="E75" s="2" t="s">
        <v>95</v>
      </c>
      <c r="F75" s="2" t="s">
        <v>95</v>
      </c>
    </row>
    <row r="76" spans="1:6" x14ac:dyDescent="0.25">
      <c r="A76" s="2" t="s">
        <v>75</v>
      </c>
      <c r="B76" s="6">
        <v>4</v>
      </c>
      <c r="C76" s="6" t="s">
        <v>90</v>
      </c>
      <c r="D76" s="2" t="s">
        <v>92</v>
      </c>
      <c r="E76" s="2" t="s">
        <v>95</v>
      </c>
      <c r="F76" s="2" t="s">
        <v>95</v>
      </c>
    </row>
    <row r="77" spans="1:6" x14ac:dyDescent="0.25">
      <c r="A77" s="2" t="s">
        <v>76</v>
      </c>
      <c r="B77" s="6">
        <v>4</v>
      </c>
      <c r="C77" s="6" t="s">
        <v>90</v>
      </c>
      <c r="D77" s="2" t="s">
        <v>92</v>
      </c>
      <c r="E77" s="2" t="s">
        <v>95</v>
      </c>
      <c r="F77" s="2" t="s">
        <v>95</v>
      </c>
    </row>
    <row r="78" spans="1:6" x14ac:dyDescent="0.25">
      <c r="A78" s="3" t="s">
        <v>77</v>
      </c>
      <c r="B78" s="6">
        <v>4</v>
      </c>
      <c r="C78" s="6" t="s">
        <v>90</v>
      </c>
      <c r="D78" s="2" t="s">
        <v>92</v>
      </c>
      <c r="E78" s="2" t="s">
        <v>95</v>
      </c>
      <c r="F78" s="2" t="s">
        <v>95</v>
      </c>
    </row>
    <row r="79" spans="1:6" x14ac:dyDescent="0.25">
      <c r="A79" s="3" t="s">
        <v>78</v>
      </c>
      <c r="B79" s="6">
        <v>2</v>
      </c>
      <c r="C79" s="6" t="s">
        <v>90</v>
      </c>
      <c r="D79" s="2" t="s">
        <v>92</v>
      </c>
      <c r="E79" s="2" t="s">
        <v>95</v>
      </c>
      <c r="F79" s="2" t="s">
        <v>95</v>
      </c>
    </row>
    <row r="80" spans="1:6" x14ac:dyDescent="0.25">
      <c r="A80" s="3" t="s">
        <v>79</v>
      </c>
      <c r="B80" s="6">
        <v>2</v>
      </c>
      <c r="C80" s="6" t="s">
        <v>90</v>
      </c>
      <c r="D80" s="2" t="s">
        <v>92</v>
      </c>
      <c r="E80" s="2" t="s">
        <v>95</v>
      </c>
      <c r="F80" s="2" t="s">
        <v>95</v>
      </c>
    </row>
    <row r="81" spans="1:6" x14ac:dyDescent="0.25">
      <c r="A81" s="3" t="s">
        <v>80</v>
      </c>
      <c r="B81" s="6">
        <v>1</v>
      </c>
      <c r="C81" s="6" t="s">
        <v>89</v>
      </c>
      <c r="D81" s="2" t="s">
        <v>91</v>
      </c>
      <c r="E81" s="2" t="str">
        <f>IFERROR(VLOOKUP(A81,[1]Tabelle3!$A:$C,2,FALSE),"")</f>
        <v/>
      </c>
      <c r="F81" s="2" t="str">
        <f>IFERROR(VLOOKUP(B81,[1]Tabelle3!$A:$C,2,FALSE),"")</f>
        <v/>
      </c>
    </row>
    <row r="82" spans="1:6" x14ac:dyDescent="0.25">
      <c r="A82" s="3" t="s">
        <v>81</v>
      </c>
      <c r="B82" s="6">
        <v>0.5</v>
      </c>
      <c r="C82" s="6" t="s">
        <v>89</v>
      </c>
      <c r="D82" s="2" t="s">
        <v>92</v>
      </c>
      <c r="E82" s="2" t="s">
        <v>95</v>
      </c>
      <c r="F82" s="2"/>
    </row>
    <row r="83" spans="1:6" x14ac:dyDescent="0.25">
      <c r="A83" s="2" t="s">
        <v>82</v>
      </c>
      <c r="B83" s="6">
        <v>0.25</v>
      </c>
      <c r="C83" s="6" t="s">
        <v>89</v>
      </c>
      <c r="D83" s="2" t="s">
        <v>91</v>
      </c>
      <c r="E83" s="2" t="str">
        <f>IFERROR(VLOOKUP(A83,[1]Tabelle3!$A:$C,2,FALSE),"")</f>
        <v/>
      </c>
      <c r="F83" s="2" t="str">
        <f>IFERROR(VLOOKUP(B83,[1]Tabelle3!$A:$C,2,FALSE),"")</f>
        <v/>
      </c>
    </row>
    <row r="84" spans="1:6" x14ac:dyDescent="0.25">
      <c r="A84" s="3" t="s">
        <v>83</v>
      </c>
      <c r="B84" s="6">
        <v>0.5</v>
      </c>
      <c r="C84" s="6" t="s">
        <v>89</v>
      </c>
      <c r="D84" s="2" t="s">
        <v>91</v>
      </c>
      <c r="E84" s="2"/>
      <c r="F84" s="2"/>
    </row>
    <row r="85" spans="1:6" x14ac:dyDescent="0.25">
      <c r="A85" s="2" t="s">
        <v>84</v>
      </c>
      <c r="B85" s="6">
        <v>4</v>
      </c>
      <c r="C85" s="6" t="s">
        <v>90</v>
      </c>
      <c r="D85" s="2" t="s">
        <v>92</v>
      </c>
      <c r="E85" s="2" t="s">
        <v>95</v>
      </c>
      <c r="F85" s="2" t="s">
        <v>95</v>
      </c>
    </row>
    <row r="86" spans="1:6" x14ac:dyDescent="0.25">
      <c r="A86" s="2" t="s">
        <v>85</v>
      </c>
      <c r="B86" s="7">
        <v>0.125</v>
      </c>
      <c r="C86" s="6" t="s">
        <v>89</v>
      </c>
      <c r="D86" s="2" t="s">
        <v>91</v>
      </c>
      <c r="E86" s="2"/>
      <c r="F86" s="2"/>
    </row>
    <row r="87" spans="1:6" x14ac:dyDescent="0.25">
      <c r="A87" s="2" t="s">
        <v>86</v>
      </c>
      <c r="B87" s="6">
        <v>4</v>
      </c>
      <c r="C87" s="6" t="s">
        <v>90</v>
      </c>
      <c r="D87" s="2" t="s">
        <v>92</v>
      </c>
      <c r="E87" s="2" t="s">
        <v>95</v>
      </c>
      <c r="F87" s="2" t="s">
        <v>95</v>
      </c>
    </row>
    <row r="88" spans="1:6" x14ac:dyDescent="0.25">
      <c r="A88" s="2" t="s">
        <v>87</v>
      </c>
      <c r="B88" s="6">
        <v>0.5</v>
      </c>
      <c r="C88" s="6" t="s">
        <v>89</v>
      </c>
      <c r="D88" s="2" t="s">
        <v>92</v>
      </c>
      <c r="E88" s="2" t="s">
        <v>95</v>
      </c>
      <c r="F88" s="2" t="s">
        <v>95</v>
      </c>
    </row>
    <row r="90" spans="1:6" ht="18.75" x14ac:dyDescent="0.25">
      <c r="A90" s="9" t="s">
        <v>98</v>
      </c>
    </row>
    <row r="91" spans="1:6" x14ac:dyDescent="0.25">
      <c r="A91" s="1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Robert</dc:creator>
  <cp:lastModifiedBy>Weber, Robert</cp:lastModifiedBy>
  <dcterms:created xsi:type="dcterms:W3CDTF">2021-01-14T12:56:52Z</dcterms:created>
  <dcterms:modified xsi:type="dcterms:W3CDTF">2021-01-14T13:19:15Z</dcterms:modified>
</cp:coreProperties>
</file>