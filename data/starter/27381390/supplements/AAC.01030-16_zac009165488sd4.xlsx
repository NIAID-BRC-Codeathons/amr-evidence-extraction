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Table S4" sheetId="1" r:id="rId1"/>
  </sheets>
  <definedNames>
    <definedName name="_xlnm.Print_Area" localSheetId="0">'Table S4'!$A$1:$H$18</definedName>
  </definedNames>
  <calcPr calcId="145621"/>
</workbook>
</file>

<file path=xl/calcChain.xml><?xml version="1.0" encoding="utf-8"?>
<calcChain xmlns="http://schemas.openxmlformats.org/spreadsheetml/2006/main">
  <c r="G4" i="1" l="1"/>
  <c r="H4" i="1"/>
  <c r="G5" i="1"/>
  <c r="H5" i="1"/>
  <c r="G6" i="1"/>
  <c r="H6" i="1"/>
  <c r="G7" i="1"/>
  <c r="H7" i="1"/>
  <c r="G8" i="1"/>
  <c r="H8" i="1"/>
  <c r="G9" i="1"/>
  <c r="H9" i="1"/>
  <c r="H10" i="1"/>
  <c r="H11" i="1"/>
  <c r="G12" i="1"/>
  <c r="H12" i="1"/>
  <c r="H13" i="1"/>
  <c r="G14" i="1"/>
  <c r="H14" i="1"/>
  <c r="G15" i="1"/>
  <c r="H15" i="1"/>
  <c r="G16" i="1"/>
  <c r="H16" i="1"/>
  <c r="G17" i="1"/>
  <c r="H17" i="1"/>
  <c r="C18" i="1"/>
  <c r="D18" i="1"/>
  <c r="E18" i="1"/>
  <c r="F18" i="1"/>
  <c r="G18" i="1"/>
  <c r="H18" i="1"/>
</calcChain>
</file>

<file path=xl/sharedStrings.xml><?xml version="1.0" encoding="utf-8"?>
<sst xmlns="http://schemas.openxmlformats.org/spreadsheetml/2006/main" count="38" uniqueCount="34">
  <si>
    <t>Totals</t>
  </si>
  <si>
    <t>Tetracycline</t>
  </si>
  <si>
    <t>Tetracyclines</t>
  </si>
  <si>
    <t>Nalidixic Acid</t>
  </si>
  <si>
    <t>Ciprofloxacin</t>
  </si>
  <si>
    <t>Quinolones</t>
  </si>
  <si>
    <t>Chloramphenicol</t>
  </si>
  <si>
    <t>Phenicols</t>
  </si>
  <si>
    <t>-</t>
  </si>
  <si>
    <t>Azithromycin</t>
  </si>
  <si>
    <t>Macrolides</t>
  </si>
  <si>
    <t>Trimethoprim-Sulfamethoxazole</t>
  </si>
  <si>
    <t>Sulfisoxazole</t>
  </si>
  <si>
    <t>Folate Pathway Inhibitors</t>
  </si>
  <si>
    <t>Ampicillin</t>
  </si>
  <si>
    <t>Penicillins</t>
  </si>
  <si>
    <t>Ceftriaxone</t>
  </si>
  <si>
    <t>Ceftiofur</t>
  </si>
  <si>
    <t>Cefoxitin</t>
  </si>
  <si>
    <t>Cephems</t>
  </si>
  <si>
    <t>Amoxicillin-Clavulanic Acid</t>
  </si>
  <si>
    <t>β-Lactam/β-Lactam inhibitors</t>
  </si>
  <si>
    <t>Streptomycin</t>
  </si>
  <si>
    <t>Gentamicin</t>
  </si>
  <si>
    <t>Aminoglycosides</t>
  </si>
  <si>
    <t>Specificity</t>
  </si>
  <si>
    <t>Sensitivity</t>
  </si>
  <si>
    <t>Genotype: susceptible</t>
  </si>
  <si>
    <t>Genotype: resistant</t>
  </si>
  <si>
    <t>Phenotype: Susceptible</t>
  </si>
  <si>
    <t>Phenotype: Resistant</t>
  </si>
  <si>
    <t>Antibiotic</t>
  </si>
  <si>
    <t>Antimicrobial Class</t>
  </si>
  <si>
    <r>
      <t xml:space="preserve">Table S4. Genotype/Phenotype Comparison of </t>
    </r>
    <r>
      <rPr>
        <b/>
        <i/>
        <sz val="12"/>
        <color indexed="8"/>
        <rFont val="Times New Roman"/>
        <family val="1"/>
      </rPr>
      <t>Salmonella</t>
    </r>
    <r>
      <rPr>
        <b/>
        <sz val="12"/>
        <color indexed="8"/>
        <rFont val="Times New Roman"/>
        <family val="1"/>
      </rPr>
      <t xml:space="preserve"> Isolated from Humans, 2011-2012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</si>
</sst>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>
      <alignment vertical="top"/>
    </xf>
    <xf numFmtId="0" fontId="3" fillId="0" borderId="0"/>
    <xf numFmtId="0" fontId="2" fillId="0" borderId="0">
      <alignment vertical="top"/>
    </xf>
  </cellStyleXfs>
  <cellXfs count="20">
    <xf numFmtId="0" fontId="0" fillId="0" borderId="0" xfId="0"/>
    <xf numFmtId="0" fontId="4" fillId="0" borderId="1" xfId="0" applyFont="1" applyBorder="1"/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wrapText="1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center"/>
    </xf>
  </cellXfs>
  <cellStyles count="6">
    <cellStyle name="Normal" xfId="0" builtinId="0"/>
    <cellStyle name="Normal 2 2" xfId="1"/>
    <cellStyle name="Normal 4" xfId="2"/>
    <cellStyle name="Normal 6" xfId="3"/>
    <cellStyle name="Normal 7" xfId="4"/>
    <cellStyle name="Normal 8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Normal="100" zoomScaleSheetLayoutView="115" workbookViewId="0">
      <selection activeCell="K10" sqref="K10"/>
    </sheetView>
  </sheetViews>
  <sheetFormatPr defaultRowHeight="15.75" x14ac:dyDescent="0.25"/>
  <cols>
    <col min="1" max="1" width="27.42578125" style="3" customWidth="1"/>
    <col min="2" max="2" width="30.7109375" style="3" bestFit="1" customWidth="1"/>
    <col min="3" max="6" width="11.85546875" style="13" customWidth="1"/>
    <col min="7" max="8" width="12.28515625" style="3" customWidth="1"/>
    <col min="9" max="16384" width="9.140625" style="3"/>
  </cols>
  <sheetData>
    <row r="1" spans="1:8" x14ac:dyDescent="0.25">
      <c r="A1" s="1" t="s">
        <v>33</v>
      </c>
      <c r="B1" s="2"/>
      <c r="C1" s="2"/>
      <c r="D1" s="2"/>
      <c r="E1" s="2"/>
      <c r="F1" s="2"/>
      <c r="G1" s="2"/>
      <c r="H1" s="2"/>
    </row>
    <row r="2" spans="1:8" x14ac:dyDescent="0.25">
      <c r="A2" s="18" t="s">
        <v>32</v>
      </c>
      <c r="B2" s="18" t="s">
        <v>31</v>
      </c>
      <c r="C2" s="14" t="s">
        <v>30</v>
      </c>
      <c r="D2" s="14"/>
      <c r="E2" s="14" t="s">
        <v>29</v>
      </c>
      <c r="F2" s="14"/>
      <c r="G2" s="1"/>
      <c r="H2" s="1"/>
    </row>
    <row r="3" spans="1:8" ht="35.25" customHeight="1" x14ac:dyDescent="0.25">
      <c r="A3" s="18"/>
      <c r="B3" s="18"/>
      <c r="C3" s="4" t="s">
        <v>28</v>
      </c>
      <c r="D3" s="4" t="s">
        <v>27</v>
      </c>
      <c r="E3" s="4" t="s">
        <v>28</v>
      </c>
      <c r="F3" s="4" t="s">
        <v>27</v>
      </c>
      <c r="G3" s="4" t="s">
        <v>26</v>
      </c>
      <c r="H3" s="4" t="s">
        <v>25</v>
      </c>
    </row>
    <row r="4" spans="1:8" ht="18" customHeight="1" x14ac:dyDescent="0.25">
      <c r="A4" s="15" t="s">
        <v>24</v>
      </c>
      <c r="B4" s="5" t="s">
        <v>23</v>
      </c>
      <c r="C4" s="6">
        <v>19</v>
      </c>
      <c r="D4" s="6">
        <v>0</v>
      </c>
      <c r="E4" s="6">
        <v>2</v>
      </c>
      <c r="F4" s="6">
        <v>83</v>
      </c>
      <c r="G4" s="19">
        <f t="shared" ref="G4:G9" si="0">C4/(C4+D4)*100</f>
        <v>100</v>
      </c>
      <c r="H4" s="19">
        <f t="shared" ref="H4:H18" si="1">F4/(E4+F4)*100</f>
        <v>97.647058823529406</v>
      </c>
    </row>
    <row r="5" spans="1:8" ht="18" customHeight="1" x14ac:dyDescent="0.25">
      <c r="A5" s="15"/>
      <c r="B5" s="5" t="s">
        <v>22</v>
      </c>
      <c r="C5" s="6">
        <v>48</v>
      </c>
      <c r="D5" s="6">
        <v>1</v>
      </c>
      <c r="E5" s="6">
        <v>13</v>
      </c>
      <c r="F5" s="6">
        <v>42</v>
      </c>
      <c r="G5" s="19">
        <f t="shared" si="0"/>
        <v>97.959183673469383</v>
      </c>
      <c r="H5" s="19">
        <f t="shared" si="1"/>
        <v>76.363636363636374</v>
      </c>
    </row>
    <row r="6" spans="1:8" ht="18" customHeight="1" x14ac:dyDescent="0.25">
      <c r="A6" s="7" t="s">
        <v>21</v>
      </c>
      <c r="B6" s="5" t="s">
        <v>20</v>
      </c>
      <c r="C6" s="6">
        <v>18</v>
      </c>
      <c r="D6" s="6">
        <v>2</v>
      </c>
      <c r="E6" s="6">
        <v>0</v>
      </c>
      <c r="F6" s="6">
        <v>84</v>
      </c>
      <c r="G6" s="19">
        <f t="shared" si="0"/>
        <v>90</v>
      </c>
      <c r="H6" s="19">
        <f t="shared" si="1"/>
        <v>100</v>
      </c>
    </row>
    <row r="7" spans="1:8" ht="18" customHeight="1" x14ac:dyDescent="0.25">
      <c r="A7" s="16" t="s">
        <v>19</v>
      </c>
      <c r="B7" s="5" t="s">
        <v>18</v>
      </c>
      <c r="C7" s="6">
        <v>15</v>
      </c>
      <c r="D7" s="6">
        <v>1</v>
      </c>
      <c r="E7" s="6">
        <v>3</v>
      </c>
      <c r="F7" s="6">
        <v>85</v>
      </c>
      <c r="G7" s="19">
        <f t="shared" si="0"/>
        <v>93.75</v>
      </c>
      <c r="H7" s="19">
        <f t="shared" si="1"/>
        <v>96.590909090909093</v>
      </c>
    </row>
    <row r="8" spans="1:8" ht="18" customHeight="1" x14ac:dyDescent="0.25">
      <c r="A8" s="17"/>
      <c r="B8" s="5" t="s">
        <v>17</v>
      </c>
      <c r="C8" s="6">
        <v>18</v>
      </c>
      <c r="D8" s="6">
        <v>0</v>
      </c>
      <c r="E8" s="6">
        <v>1</v>
      </c>
      <c r="F8" s="6">
        <v>85</v>
      </c>
      <c r="G8" s="19">
        <f t="shared" si="0"/>
        <v>100</v>
      </c>
      <c r="H8" s="19">
        <f t="shared" si="1"/>
        <v>98.837209302325576</v>
      </c>
    </row>
    <row r="9" spans="1:8" ht="18" customHeight="1" x14ac:dyDescent="0.25">
      <c r="A9" s="17"/>
      <c r="B9" s="5" t="s">
        <v>16</v>
      </c>
      <c r="C9" s="6">
        <v>18</v>
      </c>
      <c r="D9" s="6">
        <v>0</v>
      </c>
      <c r="E9" s="6">
        <v>1</v>
      </c>
      <c r="F9" s="6">
        <v>85</v>
      </c>
      <c r="G9" s="19">
        <f t="shared" si="0"/>
        <v>100</v>
      </c>
      <c r="H9" s="19">
        <f t="shared" si="1"/>
        <v>98.837209302325576</v>
      </c>
    </row>
    <row r="10" spans="1:8" ht="18" customHeight="1" x14ac:dyDescent="0.25">
      <c r="A10" s="7" t="s">
        <v>15</v>
      </c>
      <c r="B10" s="5" t="s">
        <v>14</v>
      </c>
      <c r="C10" s="6">
        <v>52</v>
      </c>
      <c r="D10" s="6">
        <v>1</v>
      </c>
      <c r="E10" s="6">
        <v>1</v>
      </c>
      <c r="F10" s="6">
        <v>50</v>
      </c>
      <c r="G10" s="19" t="s">
        <v>8</v>
      </c>
      <c r="H10" s="19">
        <f t="shared" si="1"/>
        <v>98.039215686274503</v>
      </c>
    </row>
    <row r="11" spans="1:8" ht="18" customHeight="1" x14ac:dyDescent="0.25">
      <c r="A11" s="15" t="s">
        <v>13</v>
      </c>
      <c r="B11" s="5" t="s">
        <v>12</v>
      </c>
      <c r="C11" s="6">
        <v>60</v>
      </c>
      <c r="D11" s="6">
        <v>0</v>
      </c>
      <c r="E11" s="6">
        <v>0</v>
      </c>
      <c r="F11" s="6">
        <v>44</v>
      </c>
      <c r="G11" s="19" t="s">
        <v>8</v>
      </c>
      <c r="H11" s="19">
        <f t="shared" si="1"/>
        <v>100</v>
      </c>
    </row>
    <row r="12" spans="1:8" ht="18" customHeight="1" x14ac:dyDescent="0.25">
      <c r="A12" s="15"/>
      <c r="B12" s="5" t="s">
        <v>11</v>
      </c>
      <c r="C12" s="6">
        <v>17</v>
      </c>
      <c r="D12" s="6">
        <v>2</v>
      </c>
      <c r="E12" s="6">
        <v>0</v>
      </c>
      <c r="F12" s="6">
        <v>85</v>
      </c>
      <c r="G12" s="19">
        <f>C12/(C12+D12)*100</f>
        <v>89.473684210526315</v>
      </c>
      <c r="H12" s="19">
        <f t="shared" si="1"/>
        <v>100</v>
      </c>
    </row>
    <row r="13" spans="1:8" ht="18" customHeight="1" x14ac:dyDescent="0.25">
      <c r="A13" s="8" t="s">
        <v>10</v>
      </c>
      <c r="B13" s="5" t="s">
        <v>9</v>
      </c>
      <c r="C13" s="6">
        <v>1</v>
      </c>
      <c r="D13" s="6">
        <v>0</v>
      </c>
      <c r="E13" s="6">
        <v>0</v>
      </c>
      <c r="F13" s="6">
        <v>103</v>
      </c>
      <c r="G13" s="19" t="s">
        <v>8</v>
      </c>
      <c r="H13" s="19">
        <f t="shared" si="1"/>
        <v>100</v>
      </c>
    </row>
    <row r="14" spans="1:8" ht="18" customHeight="1" x14ac:dyDescent="0.25">
      <c r="A14" s="1" t="s">
        <v>7</v>
      </c>
      <c r="B14" s="5" t="s">
        <v>6</v>
      </c>
      <c r="C14" s="6">
        <v>25</v>
      </c>
      <c r="D14" s="6">
        <v>0</v>
      </c>
      <c r="E14" s="6">
        <v>1</v>
      </c>
      <c r="F14" s="6">
        <v>78</v>
      </c>
      <c r="G14" s="19">
        <f>C14/(C14+D14)*100</f>
        <v>100</v>
      </c>
      <c r="H14" s="19">
        <f t="shared" si="1"/>
        <v>98.734177215189874</v>
      </c>
    </row>
    <row r="15" spans="1:8" ht="18" customHeight="1" x14ac:dyDescent="0.25">
      <c r="A15" s="15" t="s">
        <v>5</v>
      </c>
      <c r="B15" s="5" t="s">
        <v>4</v>
      </c>
      <c r="C15" s="6">
        <v>4</v>
      </c>
      <c r="D15" s="6">
        <v>0</v>
      </c>
      <c r="E15" s="6">
        <v>0</v>
      </c>
      <c r="F15" s="6">
        <v>100</v>
      </c>
      <c r="G15" s="19">
        <f>C15/(C15+D15)*100</f>
        <v>100</v>
      </c>
      <c r="H15" s="19">
        <f t="shared" si="1"/>
        <v>100</v>
      </c>
    </row>
    <row r="16" spans="1:8" ht="18" customHeight="1" x14ac:dyDescent="0.25">
      <c r="A16" s="15"/>
      <c r="B16" s="5" t="s">
        <v>3</v>
      </c>
      <c r="C16" s="6">
        <v>13</v>
      </c>
      <c r="D16" s="6">
        <v>2</v>
      </c>
      <c r="E16" s="6">
        <v>0</v>
      </c>
      <c r="F16" s="6">
        <v>89</v>
      </c>
      <c r="G16" s="19">
        <f>C16/(C16+D16)*100</f>
        <v>86.666666666666671</v>
      </c>
      <c r="H16" s="19">
        <f t="shared" si="1"/>
        <v>100</v>
      </c>
    </row>
    <row r="17" spans="1:8" ht="18" customHeight="1" x14ac:dyDescent="0.25">
      <c r="A17" s="1" t="s">
        <v>2</v>
      </c>
      <c r="B17" s="5" t="s">
        <v>1</v>
      </c>
      <c r="C17" s="9">
        <v>58</v>
      </c>
      <c r="D17" s="9">
        <v>0</v>
      </c>
      <c r="E17" s="9">
        <v>0</v>
      </c>
      <c r="F17" s="9">
        <v>46</v>
      </c>
      <c r="G17" s="19">
        <f>C17/(C17+D17)*100</f>
        <v>100</v>
      </c>
      <c r="H17" s="19">
        <f t="shared" si="1"/>
        <v>100</v>
      </c>
    </row>
    <row r="18" spans="1:8" ht="18" customHeight="1" x14ac:dyDescent="0.25">
      <c r="A18" s="10" t="s">
        <v>0</v>
      </c>
      <c r="B18" s="2"/>
      <c r="C18" s="11">
        <f>SUM(C4:C17)</f>
        <v>366</v>
      </c>
      <c r="D18" s="11">
        <f>SUM(D4:D17)</f>
        <v>9</v>
      </c>
      <c r="E18" s="11">
        <f>SUM(E4:E17)</f>
        <v>22</v>
      </c>
      <c r="F18" s="11">
        <f>SUM(F4:F17)</f>
        <v>1059</v>
      </c>
      <c r="G18" s="12">
        <f>C18/(C18+D18)*100</f>
        <v>97.6</v>
      </c>
      <c r="H18" s="12">
        <f t="shared" si="1"/>
        <v>97.964847363552266</v>
      </c>
    </row>
  </sheetData>
  <mergeCells count="8">
    <mergeCell ref="E2:F2"/>
    <mergeCell ref="C2:D2"/>
    <mergeCell ref="A4:A5"/>
    <mergeCell ref="A7:A9"/>
    <mergeCell ref="A15:A16"/>
    <mergeCell ref="A11:A12"/>
    <mergeCell ref="A2:A3"/>
    <mergeCell ref="B2:B3"/>
  </mergeCells>
  <pageMargins left="0.25" right="0.25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S4</vt:lpstr>
      <vt:lpstr>'Table S4'!Print_Area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 Reviewer</dc:creator>
  <cp:lastModifiedBy>CVM Reviewer</cp:lastModifiedBy>
  <dcterms:created xsi:type="dcterms:W3CDTF">2016-06-10T17:27:32Z</dcterms:created>
  <dcterms:modified xsi:type="dcterms:W3CDTF">2016-06-10T20:21:58Z</dcterms:modified>
</cp:coreProperties>
</file>