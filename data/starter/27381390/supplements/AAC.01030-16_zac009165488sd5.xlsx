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60" windowWidth="20730" windowHeight="11640" tabRatio="732" firstSheet="1" activeTab="1"/>
  </bookViews>
  <sheets>
    <sheet name="Correlation CVM 2011-2012" sheetId="4" state="hidden" r:id="rId1"/>
    <sheet name="Table S6" sheetId="11" r:id="rId2"/>
    <sheet name="List_Res Genes Prev CVM_CDC" sheetId="8" state="hidden" r:id="rId3"/>
    <sheet name="List_Res Genes Prev_CVM" sheetId="7" state="hidden" r:id="rId4"/>
  </sheets>
  <definedNames>
    <definedName name="_xlnm._FilterDatabase" localSheetId="2" hidden="1">'List_Res Genes Prev CVM_CDC'!$A$2:$F$71</definedName>
    <definedName name="_xlnm._FilterDatabase" localSheetId="1" hidden="1">'Table S6'!$A$2:$J$67</definedName>
    <definedName name="_xlnm.Print_Area" localSheetId="0">'Correlation CVM 2011-2012'!$A$1:$H$24</definedName>
    <definedName name="_xlnm.Print_Area" localSheetId="2">'List_Res Genes Prev CVM_CDC'!$A$1:$F$71</definedName>
    <definedName name="_xlnm.Print_Area" localSheetId="3">'List_Res Genes Prev_CVM'!$A$1:$F$40</definedName>
    <definedName name="_xlnm.Print_Area" localSheetId="1">'Table S6'!$A$2:$J$67</definedName>
    <definedName name="_xlnm.Print_Titles" localSheetId="2">'List_Res Genes Prev CVM_CDC'!$2:$2</definedName>
    <definedName name="_xlnm.Print_Titles" localSheetId="1">'Table S6'!$2:$2</definedName>
  </definedNames>
  <calcPr calcId="145621"/>
</workbook>
</file>

<file path=xl/calcChain.xml><?xml version="1.0" encoding="utf-8"?>
<calcChain xmlns="http://schemas.openxmlformats.org/spreadsheetml/2006/main">
  <c r="F4" i="11" l="1"/>
  <c r="F5" i="11"/>
  <c r="F6" i="11"/>
  <c r="F7" i="11"/>
  <c r="F8" i="11"/>
  <c r="F9" i="11"/>
  <c r="F10" i="11"/>
  <c r="F11" i="11"/>
  <c r="F12" i="11"/>
  <c r="F13" i="11"/>
  <c r="F14" i="11"/>
  <c r="F15" i="11"/>
  <c r="F16" i="11"/>
  <c r="F18" i="11"/>
  <c r="F17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7" i="11"/>
  <c r="F38" i="11"/>
  <c r="F39" i="11"/>
  <c r="F40" i="11"/>
  <c r="F41" i="11"/>
  <c r="F42" i="11"/>
  <c r="F36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8" i="11"/>
  <c r="E17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7" i="11"/>
  <c r="E38" i="11"/>
  <c r="E39" i="11"/>
  <c r="E40" i="11"/>
  <c r="E41" i="11"/>
  <c r="E42" i="11"/>
  <c r="E36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3" i="11"/>
  <c r="I31" i="11"/>
  <c r="I36" i="11" l="1"/>
  <c r="I4" i="11"/>
  <c r="I5" i="11"/>
  <c r="I6" i="11"/>
  <c r="I16" i="11"/>
  <c r="I17" i="11"/>
  <c r="I18" i="11"/>
  <c r="I19" i="11"/>
  <c r="I7" i="11"/>
  <c r="I8" i="11"/>
  <c r="I9" i="11"/>
  <c r="I10" i="11"/>
  <c r="I11" i="11"/>
  <c r="I12" i="11"/>
  <c r="I13" i="11"/>
  <c r="I14" i="11"/>
  <c r="I15" i="11"/>
  <c r="I21" i="11"/>
  <c r="I20" i="11"/>
  <c r="I22" i="11"/>
  <c r="I59" i="11"/>
  <c r="I62" i="11"/>
  <c r="I58" i="11"/>
  <c r="I60" i="11"/>
  <c r="I61" i="11"/>
  <c r="I66" i="11"/>
  <c r="I63" i="11"/>
  <c r="I64" i="11"/>
  <c r="I65" i="11"/>
  <c r="I67" i="11"/>
  <c r="I23" i="11"/>
  <c r="I24" i="11"/>
  <c r="I33" i="11"/>
  <c r="I34" i="11"/>
  <c r="I35" i="11"/>
  <c r="I25" i="11"/>
  <c r="I26" i="11"/>
  <c r="I27" i="11"/>
  <c r="I32" i="11"/>
  <c r="I28" i="11"/>
  <c r="I29" i="11"/>
  <c r="I30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3" i="11"/>
  <c r="J3" i="7"/>
  <c r="H19" i="4"/>
  <c r="G19" i="4"/>
  <c r="G5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4" i="4"/>
  <c r="F68" i="8"/>
  <c r="F67" i="8"/>
  <c r="F66" i="8"/>
  <c r="F65" i="8"/>
  <c r="F64" i="8"/>
  <c r="F40" i="8"/>
  <c r="F39" i="8"/>
  <c r="F34" i="8"/>
  <c r="F24" i="8"/>
  <c r="F23" i="8"/>
  <c r="F21" i="8"/>
  <c r="F16" i="8"/>
  <c r="F12" i="8"/>
  <c r="F8" i="8"/>
  <c r="F6" i="8"/>
</calcChain>
</file>

<file path=xl/sharedStrings.xml><?xml version="1.0" encoding="utf-8"?>
<sst xmlns="http://schemas.openxmlformats.org/spreadsheetml/2006/main" count="572" uniqueCount="154">
  <si>
    <t>Antimicrobial Class</t>
  </si>
  <si>
    <t>Resistance Phenotype</t>
  </si>
  <si>
    <t>Phenotype: Susceptible</t>
  </si>
  <si>
    <t>Phenotype: Resistant</t>
  </si>
  <si>
    <t>Genotype: resistant</t>
  </si>
  <si>
    <t>Genotype: susceptible</t>
  </si>
  <si>
    <t>Aminoglycosides</t>
  </si>
  <si>
    <t>Gentamicin</t>
  </si>
  <si>
    <t>Kanamycin</t>
  </si>
  <si>
    <t>Streptomycin</t>
  </si>
  <si>
    <t>β-Lactams</t>
  </si>
  <si>
    <t>Amoxicillin-Clavulanic Acid</t>
  </si>
  <si>
    <t>Cefoxitin</t>
  </si>
  <si>
    <t>Ceftiofur</t>
  </si>
  <si>
    <t>Ceftriaxone</t>
  </si>
  <si>
    <t>Ampicillin</t>
  </si>
  <si>
    <t>Folate Pathway Inhibitors</t>
  </si>
  <si>
    <t>Sulfisoxazole</t>
  </si>
  <si>
    <t>Trimethoprim-Sulfamethoxazole</t>
  </si>
  <si>
    <t>Macrolides</t>
  </si>
  <si>
    <t>Azithromycin</t>
  </si>
  <si>
    <t>Phenicols</t>
  </si>
  <si>
    <t>Chloramphenicol</t>
  </si>
  <si>
    <t>Quinolones</t>
  </si>
  <si>
    <t>Ciprofloxacin</t>
  </si>
  <si>
    <t>Nalidixic Acid</t>
  </si>
  <si>
    <t>Tetracyclines</t>
  </si>
  <si>
    <t>Tetracycline</t>
  </si>
  <si>
    <t>Sensitivity</t>
  </si>
  <si>
    <t>Specificity</t>
  </si>
  <si>
    <t>Resistance Gene</t>
  </si>
  <si>
    <t>Count</t>
  </si>
  <si>
    <t>aac(3)-Id</t>
  </si>
  <si>
    <t>aac(3)-IId</t>
  </si>
  <si>
    <t>aac(3)-IV</t>
  </si>
  <si>
    <t>aac(3)-VI</t>
  </si>
  <si>
    <t>aadB</t>
  </si>
  <si>
    <t>Gentamicin, Kanamycin</t>
  </si>
  <si>
    <t>aph(3')-la</t>
  </si>
  <si>
    <t xml:space="preserve">aph(3')-II </t>
  </si>
  <si>
    <t>aph(4)-la</t>
  </si>
  <si>
    <t>Hygromycin B</t>
  </si>
  <si>
    <t>aadA</t>
  </si>
  <si>
    <t>aadA1</t>
  </si>
  <si>
    <t>aadA12</t>
  </si>
  <si>
    <t>aadA2</t>
  </si>
  <si>
    <t>aadA23</t>
  </si>
  <si>
    <t>aadA24</t>
  </si>
  <si>
    <t>aadA5</t>
  </si>
  <si>
    <t>aadA7</t>
  </si>
  <si>
    <t>aph(3')-lb (strA)</t>
  </si>
  <si>
    <t>aph(6)-lc</t>
  </si>
  <si>
    <t>aph(6)-Id (strB)</t>
  </si>
  <si>
    <t>blaCMY-2</t>
  </si>
  <si>
    <t>β-lactams</t>
  </si>
  <si>
    <t>Amoxicillin-clavulanic acid, Ampicillin, Ceftriaxone, Cefoxitin, Ceftiofur</t>
  </si>
  <si>
    <t>blaFOX-6</t>
  </si>
  <si>
    <t>blacarB-2</t>
  </si>
  <si>
    <t>blaCTX-M-14b</t>
  </si>
  <si>
    <t>Ampicillin, Ceftiofur, Ceftriaxone</t>
  </si>
  <si>
    <t>blaHERA-3</t>
  </si>
  <si>
    <t>blaLAP-1</t>
  </si>
  <si>
    <t>blaOXA2</t>
  </si>
  <si>
    <t>blaTEM-117</t>
  </si>
  <si>
    <t>blaTEM-135</t>
  </si>
  <si>
    <t>blaTEM1E</t>
  </si>
  <si>
    <t>ble</t>
  </si>
  <si>
    <t xml:space="preserve">Bleomycin </t>
  </si>
  <si>
    <t>blmS</t>
  </si>
  <si>
    <t>sul1</t>
  </si>
  <si>
    <t>sul2</t>
  </si>
  <si>
    <t>sul3</t>
  </si>
  <si>
    <t>dfr5</t>
  </si>
  <si>
    <t>Trimethoprim-sulfamethoxazole</t>
  </si>
  <si>
    <t>dfr7</t>
  </si>
  <si>
    <t>dfrA1</t>
  </si>
  <si>
    <t>dfrA12</t>
  </si>
  <si>
    <t>dfrA14</t>
  </si>
  <si>
    <t>dfrA17</t>
  </si>
  <si>
    <t>dfrA8</t>
  </si>
  <si>
    <t>mel</t>
  </si>
  <si>
    <t>Erythromycin</t>
  </si>
  <si>
    <t>mphB</t>
  </si>
  <si>
    <t>mphE</t>
  </si>
  <si>
    <t>mphK</t>
  </si>
  <si>
    <t>catA1</t>
  </si>
  <si>
    <t>cmlA</t>
  </si>
  <si>
    <t>cmlA9</t>
  </si>
  <si>
    <t>floR</t>
  </si>
  <si>
    <t>oqxA</t>
  </si>
  <si>
    <t>Phenicols and Olaquindox</t>
  </si>
  <si>
    <t>Olaquindox</t>
  </si>
  <si>
    <t>oqxB</t>
  </si>
  <si>
    <t>qacH</t>
  </si>
  <si>
    <t>QAC</t>
  </si>
  <si>
    <t>Disinfectants, ethidium bromide</t>
  </si>
  <si>
    <t>qnrA</t>
  </si>
  <si>
    <t>Reduced susceptibility to NAL, CIP</t>
  </si>
  <si>
    <t>qnrB19</t>
  </si>
  <si>
    <t>qnrS</t>
  </si>
  <si>
    <t>tetA</t>
  </si>
  <si>
    <t>tetB</t>
  </si>
  <si>
    <t>tetC</t>
  </si>
  <si>
    <t>tetD</t>
  </si>
  <si>
    <t>tetG</t>
  </si>
  <si>
    <t>tetM</t>
  </si>
  <si>
    <t>tetO</t>
  </si>
  <si>
    <t>tetX</t>
  </si>
  <si>
    <t>Gentamicin,Kanamycin</t>
  </si>
  <si>
    <t>aph(3')-II</t>
  </si>
  <si>
    <t>aph(3')-lb</t>
  </si>
  <si>
    <t>aac(6')-Ib</t>
  </si>
  <si>
    <t>aadA13</t>
  </si>
  <si>
    <t>aph(6)-Ic</t>
  </si>
  <si>
    <t>aph(6)-Id</t>
  </si>
  <si>
    <t>Amoxicillin-clavulanic acid, Ampicillin, Ceftriaxone, Cefoxitin,  Ceftiofur</t>
  </si>
  <si>
    <t>blaCMY-4</t>
  </si>
  <si>
    <t>blaTEM-169</t>
  </si>
  <si>
    <t>blaSHV-2a</t>
  </si>
  <si>
    <t>Bleomycin</t>
  </si>
  <si>
    <t>dfrA15</t>
  </si>
  <si>
    <t>aac(6')-lb</t>
  </si>
  <si>
    <t>Amoxicillin-clavulanic acid, Ampicillin, Ceftriaxone, Cefoxitin,Ceftiofur</t>
  </si>
  <si>
    <t>Ceftriaxone, Cefoxitin, Ceftiofur</t>
  </si>
  <si>
    <t>Ampicillin, Ceftriaxone, Ceftiofur</t>
  </si>
  <si>
    <t>drfA15</t>
  </si>
  <si>
    <r>
      <t xml:space="preserve">Table 2. Genotype/Phenotype Comparison of </t>
    </r>
    <r>
      <rPr>
        <b/>
        <i/>
        <sz val="11"/>
        <color indexed="8"/>
        <rFont val="Calibri"/>
        <family val="2"/>
      </rPr>
      <t>Salmonella</t>
    </r>
    <r>
      <rPr>
        <b/>
        <sz val="11"/>
        <color indexed="8"/>
        <rFont val="Calibri"/>
        <family val="2"/>
      </rPr>
      <t xml:space="preserve"> Isolated from Retail Meat, 2011-2012</t>
    </r>
  </si>
  <si>
    <t>Prevalence by Isolates (%)</t>
  </si>
  <si>
    <t>Prevalence by Gene (%)</t>
  </si>
  <si>
    <t>Prevalence by Genes (%)</t>
  </si>
  <si>
    <t>* 10 isolates had Kan in the original MDR pattern, and the aph(3')-la gene was present. The AST for these 10 isolates was repeated, but because Kan is not longer on the panel, phenotype resistance to Kan could not be confirmed. As a results, these isolates were not included in the final analysis</t>
  </si>
  <si>
    <t xml:space="preserve"> </t>
  </si>
  <si>
    <t>blaCTX-M-1</t>
  </si>
  <si>
    <t>dhfrl</t>
  </si>
  <si>
    <t>strA</t>
  </si>
  <si>
    <t>strB</t>
  </si>
  <si>
    <t>blaOXA-2</t>
  </si>
  <si>
    <t>blaTEM-1</t>
  </si>
  <si>
    <t>linB</t>
  </si>
  <si>
    <t>Lincomycin</t>
  </si>
  <si>
    <t>Antineoplastics</t>
  </si>
  <si>
    <t>Lincosamides</t>
  </si>
  <si>
    <t>aph(3')-Ia</t>
  </si>
  <si>
    <t>aph(4)-Ia</t>
  </si>
  <si>
    <t>CDC</t>
  </si>
  <si>
    <t>CVM</t>
  </si>
  <si>
    <t>*One retail meat isolate had two copies of tetC</t>
  </si>
  <si>
    <t>Human isolate prevalence</t>
  </si>
  <si>
    <t>Retail meat prevalence</t>
  </si>
  <si>
    <t>Table S5. Resistance gene prevalence by source</t>
  </si>
  <si>
    <t>Gentamicin, Streptomycin</t>
  </si>
  <si>
    <t>mphA</t>
  </si>
  <si>
    <t>Olaquindox, Phenicols, Quinolones</t>
  </si>
  <si>
    <t>Chloramphenicol, Olaquindox, Quinolones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</si>
</sst>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%"/>
  </numFmts>
  <fonts count="3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i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8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4" applyNumberFormat="0" applyAlignment="0" applyProtection="0"/>
    <xf numFmtId="0" fontId="7" fillId="28" borderId="5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6" applyNumberFormat="0" applyFill="0" applyAlignment="0" applyProtection="0"/>
    <xf numFmtId="0" fontId="11" fillId="0" borderId="7" applyNumberFormat="0" applyFill="0" applyAlignment="0" applyProtection="0"/>
    <xf numFmtId="0" fontId="12" fillId="0" borderId="8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4" applyNumberFormat="0" applyAlignment="0" applyProtection="0"/>
    <xf numFmtId="0" fontId="14" fillId="0" borderId="9" applyNumberFormat="0" applyFill="0" applyAlignment="0" applyProtection="0"/>
    <xf numFmtId="0" fontId="15" fillId="31" borderId="0" applyNumberFormat="0" applyBorder="0" applyAlignment="0" applyProtection="0"/>
    <xf numFmtId="0" fontId="3" fillId="32" borderId="10" applyNumberFormat="0" applyFont="0" applyAlignment="0" applyProtection="0"/>
    <xf numFmtId="0" fontId="16" fillId="27" borderId="11" applyNumberFormat="0" applyAlignment="0" applyProtection="0"/>
    <xf numFmtId="9" fontId="3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0" fontId="19" fillId="0" borderId="0" applyNumberFormat="0" applyFill="0" applyBorder="0" applyAlignment="0" applyProtection="0"/>
    <xf numFmtId="0" fontId="24" fillId="0" borderId="0"/>
    <xf numFmtId="0" fontId="25" fillId="0" borderId="0">
      <alignment vertical="top"/>
    </xf>
    <xf numFmtId="0" fontId="25" fillId="0" borderId="0">
      <alignment vertical="top"/>
    </xf>
    <xf numFmtId="0" fontId="24" fillId="0" borderId="0"/>
    <xf numFmtId="0" fontId="26" fillId="0" borderId="0"/>
  </cellStyleXfs>
  <cellXfs count="38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8" fillId="0" borderId="1" xfId="0" applyFont="1" applyBorder="1" applyAlignment="1">
      <alignment horizontal="left" vertical="top"/>
    </xf>
    <xf numFmtId="0" fontId="18" fillId="0" borderId="1" xfId="0" applyFont="1" applyBorder="1"/>
    <xf numFmtId="0" fontId="18" fillId="0" borderId="1" xfId="0" applyFont="1" applyBorder="1" applyAlignment="1">
      <alignment horizontal="center" wrapText="1"/>
    </xf>
    <xf numFmtId="164" fontId="0" fillId="0" borderId="0" xfId="0" applyNumberFormat="1"/>
    <xf numFmtId="164" fontId="0" fillId="0" borderId="1" xfId="0" applyNumberFormat="1" applyBorder="1"/>
    <xf numFmtId="0" fontId="20" fillId="0" borderId="1" xfId="0" applyFont="1" applyBorder="1"/>
    <xf numFmtId="0" fontId="21" fillId="0" borderId="1" xfId="0" applyFont="1" applyBorder="1"/>
    <xf numFmtId="0" fontId="0" fillId="0" borderId="1" xfId="0" applyBorder="1" applyAlignment="1">
      <alignment wrapText="1"/>
    </xf>
    <xf numFmtId="0" fontId="22" fillId="0" borderId="1" xfId="0" applyFont="1" applyBorder="1"/>
    <xf numFmtId="165" fontId="3" fillId="0" borderId="1" xfId="39" applyNumberFormat="1" applyFont="1" applyBorder="1"/>
    <xf numFmtId="165" fontId="3" fillId="0" borderId="1" xfId="39" applyNumberFormat="1" applyFont="1" applyFill="1" applyBorder="1"/>
    <xf numFmtId="0" fontId="18" fillId="0" borderId="0" xfId="0" applyFont="1"/>
    <xf numFmtId="164" fontId="0" fillId="0" borderId="1" xfId="0" applyNumberFormat="1" applyBorder="1" applyAlignment="1">
      <alignment wrapText="1"/>
    </xf>
    <xf numFmtId="0" fontId="0" fillId="0" borderId="2" xfId="0" applyFill="1" applyBorder="1"/>
    <xf numFmtId="0" fontId="0" fillId="0" borderId="3" xfId="0" applyFill="1" applyBorder="1"/>
    <xf numFmtId="0" fontId="28" fillId="0" borderId="1" xfId="0" applyFont="1" applyFill="1" applyBorder="1" applyAlignment="1">
      <alignment wrapText="1"/>
    </xf>
    <xf numFmtId="0" fontId="28" fillId="0" borderId="0" xfId="0" applyFont="1" applyFill="1" applyAlignment="1">
      <alignment wrapText="1"/>
    </xf>
    <xf numFmtId="0" fontId="29" fillId="0" borderId="1" xfId="0" applyFont="1" applyFill="1" applyBorder="1" applyAlignment="1">
      <alignment wrapText="1"/>
    </xf>
    <xf numFmtId="0" fontId="29" fillId="0" borderId="2" xfId="0" applyFont="1" applyFill="1" applyBorder="1" applyAlignment="1">
      <alignment wrapText="1"/>
    </xf>
    <xf numFmtId="0" fontId="28" fillId="0" borderId="0" xfId="0" applyFont="1" applyFill="1" applyAlignment="1">
      <alignment horizontal="center" wrapText="1"/>
    </xf>
    <xf numFmtId="164" fontId="28" fillId="0" borderId="1" xfId="0" applyNumberFormat="1" applyFont="1" applyFill="1" applyBorder="1" applyAlignment="1">
      <alignment horizontal="center" wrapText="1"/>
    </xf>
    <xf numFmtId="1" fontId="28" fillId="0" borderId="1" xfId="0" applyNumberFormat="1" applyFont="1" applyFill="1" applyBorder="1" applyAlignment="1">
      <alignment horizontal="center" wrapText="1"/>
    </xf>
    <xf numFmtId="0" fontId="28" fillId="0" borderId="1" xfId="0" applyFont="1" applyFill="1" applyBorder="1" applyAlignment="1">
      <alignment horizontal="center" wrapText="1"/>
    </xf>
    <xf numFmtId="1" fontId="28" fillId="0" borderId="0" xfId="0" applyNumberFormat="1" applyFont="1" applyFill="1" applyAlignment="1">
      <alignment horizontal="center" wrapText="1"/>
    </xf>
    <xf numFmtId="1" fontId="28" fillId="0" borderId="0" xfId="0" applyNumberFormat="1" applyFont="1" applyFill="1" applyBorder="1" applyAlignment="1">
      <alignment horizontal="center" wrapText="1"/>
    </xf>
    <xf numFmtId="164" fontId="28" fillId="0" borderId="0" xfId="0" applyNumberFormat="1" applyFont="1" applyFill="1" applyAlignment="1">
      <alignment horizontal="center" wrapText="1"/>
    </xf>
    <xf numFmtId="0" fontId="0" fillId="0" borderId="0" xfId="0" applyAlignment="1">
      <alignment horizontal="left" wrapText="1"/>
    </xf>
    <xf numFmtId="0" fontId="18" fillId="0" borderId="1" xfId="0" applyFont="1" applyBorder="1" applyAlignment="1">
      <alignment horizontal="left" vertical="top"/>
    </xf>
    <xf numFmtId="0" fontId="18" fillId="0" borderId="1" xfId="0" applyFont="1" applyBorder="1" applyAlignment="1">
      <alignment horizontal="left" wrapText="1"/>
    </xf>
    <xf numFmtId="0" fontId="18" fillId="0" borderId="1" xfId="0" applyFont="1" applyBorder="1" applyAlignment="1">
      <alignment horizontal="center"/>
    </xf>
    <xf numFmtId="0" fontId="23" fillId="0" borderId="1" xfId="0" applyFont="1" applyBorder="1" applyAlignment="1">
      <alignment horizontal="left" vertical="top" wrapText="1"/>
    </xf>
    <xf numFmtId="0" fontId="27" fillId="0" borderId="13" xfId="0" applyFont="1" applyBorder="1" applyAlignment="1">
      <alignment horizontal="left" wrapText="1"/>
    </xf>
    <xf numFmtId="0" fontId="27" fillId="0" borderId="14" xfId="0" applyFont="1" applyBorder="1" applyAlignment="1">
      <alignment horizontal="left" wrapText="1"/>
    </xf>
  </cellXfs>
  <cellStyles count="4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 2" xfId="46"/>
    <cellStyle name="Normal 4" xfId="43"/>
    <cellStyle name="Normal 6" xfId="45"/>
    <cellStyle name="Normal 7" xfId="47"/>
    <cellStyle name="Normal 8" xfId="44"/>
    <cellStyle name="Note" xfId="37" builtinId="10" customBuiltin="1"/>
    <cellStyle name="Output" xfId="38" builtinId="21" customBuiltin="1"/>
    <cellStyle name="Percent" xfId="39" builtinId="5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view="pageBreakPreview" zoomScale="110" zoomScaleNormal="100" zoomScaleSheetLayoutView="110" workbookViewId="0">
      <selection activeCell="E26" sqref="E26"/>
    </sheetView>
  </sheetViews>
  <sheetFormatPr defaultRowHeight="15" x14ac:dyDescent="0.25"/>
  <cols>
    <col min="1" max="1" width="24" bestFit="1" customWidth="1"/>
    <col min="2" max="2" width="30.7109375" bestFit="1" customWidth="1"/>
    <col min="3" max="3" width="12.28515625" customWidth="1"/>
    <col min="4" max="4" width="12.42578125" customWidth="1"/>
    <col min="5" max="8" width="12.28515625" customWidth="1"/>
  </cols>
  <sheetData>
    <row r="1" spans="1:10" x14ac:dyDescent="0.25">
      <c r="A1" s="16" t="s">
        <v>126</v>
      </c>
    </row>
    <row r="2" spans="1:10" x14ac:dyDescent="0.25">
      <c r="A2" s="33" t="s">
        <v>0</v>
      </c>
      <c r="B2" s="33" t="s">
        <v>1</v>
      </c>
      <c r="C2" s="34" t="s">
        <v>3</v>
      </c>
      <c r="D2" s="34"/>
      <c r="E2" s="34" t="s">
        <v>2</v>
      </c>
      <c r="F2" s="34"/>
      <c r="G2" s="6"/>
      <c r="H2" s="6"/>
    </row>
    <row r="3" spans="1:10" ht="39" customHeight="1" x14ac:dyDescent="0.25">
      <c r="A3" s="33"/>
      <c r="B3" s="33"/>
      <c r="C3" s="7" t="s">
        <v>4</v>
      </c>
      <c r="D3" s="7" t="s">
        <v>5</v>
      </c>
      <c r="E3" s="7" t="s">
        <v>4</v>
      </c>
      <c r="F3" s="7" t="s">
        <v>5</v>
      </c>
      <c r="G3" s="7" t="s">
        <v>28</v>
      </c>
      <c r="H3" s="7" t="s">
        <v>29</v>
      </c>
    </row>
    <row r="4" spans="1:10" ht="19.5" customHeight="1" x14ac:dyDescent="0.25">
      <c r="A4" s="32" t="s">
        <v>6</v>
      </c>
      <c r="B4" s="1" t="s">
        <v>7</v>
      </c>
      <c r="C4" s="2">
        <v>41</v>
      </c>
      <c r="D4" s="2">
        <v>3</v>
      </c>
      <c r="E4" s="2">
        <v>1</v>
      </c>
      <c r="F4" s="2">
        <v>136</v>
      </c>
      <c r="G4" s="14">
        <v>0.93181800000000004</v>
      </c>
      <c r="H4" s="14">
        <v>0.99270069999999999</v>
      </c>
      <c r="J4">
        <f>SUM(C4:F4)</f>
        <v>181</v>
      </c>
    </row>
    <row r="5" spans="1:10" ht="19.5" customHeight="1" x14ac:dyDescent="0.25">
      <c r="A5" s="32"/>
      <c r="B5" s="1" t="s">
        <v>8</v>
      </c>
      <c r="C5" s="2">
        <v>16</v>
      </c>
      <c r="D5" s="2">
        <v>2</v>
      </c>
      <c r="E5" s="2">
        <v>0</v>
      </c>
      <c r="F5" s="2">
        <v>153</v>
      </c>
      <c r="G5" s="14">
        <f>16/18</f>
        <v>0.88888888888888884</v>
      </c>
      <c r="H5" s="14">
        <v>1</v>
      </c>
      <c r="J5">
        <f t="shared" ref="J5:J18" si="0">SUM(C5:F5)</f>
        <v>171</v>
      </c>
    </row>
    <row r="6" spans="1:10" ht="19.5" customHeight="1" x14ac:dyDescent="0.25">
      <c r="A6" s="32"/>
      <c r="B6" s="1" t="s">
        <v>9</v>
      </c>
      <c r="C6" s="2">
        <v>87</v>
      </c>
      <c r="D6" s="2">
        <v>2</v>
      </c>
      <c r="E6" s="2">
        <v>8</v>
      </c>
      <c r="F6" s="2">
        <v>84</v>
      </c>
      <c r="G6" s="14">
        <v>0.97750000000000004</v>
      </c>
      <c r="H6" s="14">
        <v>0.91300000000000003</v>
      </c>
      <c r="J6">
        <f t="shared" si="0"/>
        <v>181</v>
      </c>
    </row>
    <row r="7" spans="1:10" ht="19.5" customHeight="1" x14ac:dyDescent="0.25">
      <c r="A7" s="35" t="s">
        <v>10</v>
      </c>
      <c r="B7" s="1" t="s">
        <v>11</v>
      </c>
      <c r="C7" s="2">
        <v>43</v>
      </c>
      <c r="D7" s="2">
        <v>0</v>
      </c>
      <c r="E7" s="2">
        <v>0</v>
      </c>
      <c r="F7" s="2">
        <v>138</v>
      </c>
      <c r="G7" s="14">
        <v>1</v>
      </c>
      <c r="H7" s="14">
        <v>1</v>
      </c>
      <c r="J7">
        <f t="shared" si="0"/>
        <v>181</v>
      </c>
    </row>
    <row r="8" spans="1:10" ht="19.5" customHeight="1" x14ac:dyDescent="0.25">
      <c r="A8" s="35"/>
      <c r="B8" s="1" t="s">
        <v>12</v>
      </c>
      <c r="C8" s="2">
        <v>31</v>
      </c>
      <c r="D8" s="2">
        <v>1</v>
      </c>
      <c r="E8" s="2">
        <v>12</v>
      </c>
      <c r="F8" s="2">
        <v>137</v>
      </c>
      <c r="G8" s="14">
        <v>0.96879999999999999</v>
      </c>
      <c r="H8" s="14">
        <v>0.91900000000000004</v>
      </c>
      <c r="J8">
        <f t="shared" si="0"/>
        <v>181</v>
      </c>
    </row>
    <row r="9" spans="1:10" ht="19.5" customHeight="1" x14ac:dyDescent="0.25">
      <c r="A9" s="35"/>
      <c r="B9" s="1" t="s">
        <v>13</v>
      </c>
      <c r="C9" s="2">
        <v>42</v>
      </c>
      <c r="D9" s="2">
        <v>0</v>
      </c>
      <c r="E9" s="2">
        <v>2</v>
      </c>
      <c r="F9" s="2">
        <v>137</v>
      </c>
      <c r="G9" s="14">
        <v>1</v>
      </c>
      <c r="H9" s="14">
        <v>0.98561151078999998</v>
      </c>
      <c r="J9">
        <f t="shared" si="0"/>
        <v>181</v>
      </c>
    </row>
    <row r="10" spans="1:10" ht="19.5" customHeight="1" x14ac:dyDescent="0.25">
      <c r="A10" s="35"/>
      <c r="B10" s="1" t="s">
        <v>14</v>
      </c>
      <c r="C10" s="2">
        <v>44</v>
      </c>
      <c r="D10" s="2">
        <v>0</v>
      </c>
      <c r="E10" s="2">
        <v>0</v>
      </c>
      <c r="F10" s="2">
        <v>137</v>
      </c>
      <c r="G10" s="14">
        <v>1</v>
      </c>
      <c r="H10" s="14">
        <v>1</v>
      </c>
      <c r="J10">
        <f t="shared" si="0"/>
        <v>181</v>
      </c>
    </row>
    <row r="11" spans="1:10" ht="19.5" customHeight="1" x14ac:dyDescent="0.25">
      <c r="A11" s="35"/>
      <c r="B11" s="1" t="s">
        <v>15</v>
      </c>
      <c r="C11" s="2">
        <v>83</v>
      </c>
      <c r="D11" s="2">
        <v>0</v>
      </c>
      <c r="E11" s="2">
        <v>0</v>
      </c>
      <c r="F11" s="2">
        <v>98</v>
      </c>
      <c r="G11" s="14">
        <v>1</v>
      </c>
      <c r="H11" s="14">
        <v>1</v>
      </c>
      <c r="J11">
        <f t="shared" si="0"/>
        <v>181</v>
      </c>
    </row>
    <row r="12" spans="1:10" ht="19.5" customHeight="1" x14ac:dyDescent="0.25">
      <c r="A12" s="32" t="s">
        <v>16</v>
      </c>
      <c r="B12" s="1" t="s">
        <v>17</v>
      </c>
      <c r="C12" s="2">
        <v>73</v>
      </c>
      <c r="D12" s="2">
        <v>0</v>
      </c>
      <c r="E12" s="2">
        <v>0</v>
      </c>
      <c r="F12" s="2">
        <v>108</v>
      </c>
      <c r="G12" s="14">
        <v>1</v>
      </c>
      <c r="H12" s="14">
        <v>1</v>
      </c>
      <c r="J12">
        <f t="shared" si="0"/>
        <v>181</v>
      </c>
    </row>
    <row r="13" spans="1:10" ht="19.5" customHeight="1" x14ac:dyDescent="0.25">
      <c r="A13" s="32"/>
      <c r="B13" s="1" t="s">
        <v>18</v>
      </c>
      <c r="C13" s="2">
        <v>2</v>
      </c>
      <c r="D13" s="2">
        <v>0</v>
      </c>
      <c r="E13" s="2">
        <v>0</v>
      </c>
      <c r="F13" s="2">
        <v>179</v>
      </c>
      <c r="G13" s="14">
        <v>1</v>
      </c>
      <c r="H13" s="14">
        <v>1</v>
      </c>
      <c r="J13">
        <f t="shared" si="0"/>
        <v>181</v>
      </c>
    </row>
    <row r="14" spans="1:10" ht="19.5" customHeight="1" x14ac:dyDescent="0.25">
      <c r="A14" s="5" t="s">
        <v>19</v>
      </c>
      <c r="B14" s="1" t="s">
        <v>20</v>
      </c>
      <c r="C14" s="2">
        <v>0</v>
      </c>
      <c r="D14" s="2">
        <v>0</v>
      </c>
      <c r="E14" s="2">
        <v>0</v>
      </c>
      <c r="F14" s="2">
        <v>181</v>
      </c>
      <c r="G14" s="14">
        <v>1</v>
      </c>
      <c r="H14" s="14">
        <v>1</v>
      </c>
      <c r="J14">
        <f t="shared" si="0"/>
        <v>181</v>
      </c>
    </row>
    <row r="15" spans="1:10" ht="19.5" customHeight="1" x14ac:dyDescent="0.25">
      <c r="A15" s="6" t="s">
        <v>21</v>
      </c>
      <c r="B15" s="1" t="s">
        <v>22</v>
      </c>
      <c r="C15" s="2">
        <v>8</v>
      </c>
      <c r="D15" s="2">
        <v>0</v>
      </c>
      <c r="E15" s="2">
        <v>0</v>
      </c>
      <c r="F15" s="2">
        <v>173</v>
      </c>
      <c r="G15" s="14">
        <v>1</v>
      </c>
      <c r="H15" s="14">
        <v>1</v>
      </c>
      <c r="J15">
        <f t="shared" si="0"/>
        <v>181</v>
      </c>
    </row>
    <row r="16" spans="1:10" ht="19.5" customHeight="1" x14ac:dyDescent="0.25">
      <c r="A16" s="6" t="s">
        <v>23</v>
      </c>
      <c r="B16" s="1" t="s">
        <v>24</v>
      </c>
      <c r="C16" s="2">
        <v>0</v>
      </c>
      <c r="D16" s="2">
        <v>0</v>
      </c>
      <c r="E16" s="2">
        <v>0</v>
      </c>
      <c r="F16" s="2">
        <v>181</v>
      </c>
      <c r="G16" s="14">
        <v>1</v>
      </c>
      <c r="H16" s="14">
        <v>1</v>
      </c>
      <c r="J16">
        <f t="shared" si="0"/>
        <v>181</v>
      </c>
    </row>
    <row r="17" spans="1:10" ht="19.5" customHeight="1" x14ac:dyDescent="0.25">
      <c r="A17" s="6"/>
      <c r="B17" s="1" t="s">
        <v>25</v>
      </c>
      <c r="C17" s="2">
        <v>0</v>
      </c>
      <c r="D17" s="2">
        <v>0</v>
      </c>
      <c r="E17" s="2">
        <v>0</v>
      </c>
      <c r="F17" s="2">
        <v>181</v>
      </c>
      <c r="G17" s="14">
        <v>1</v>
      </c>
      <c r="H17" s="14">
        <v>1</v>
      </c>
      <c r="J17">
        <f t="shared" si="0"/>
        <v>181</v>
      </c>
    </row>
    <row r="18" spans="1:10" ht="19.5" customHeight="1" x14ac:dyDescent="0.25">
      <c r="A18" s="6" t="s">
        <v>26</v>
      </c>
      <c r="B18" s="1" t="s">
        <v>27</v>
      </c>
      <c r="C18" s="4">
        <v>107</v>
      </c>
      <c r="D18" s="4">
        <v>0</v>
      </c>
      <c r="E18" s="4">
        <v>0</v>
      </c>
      <c r="F18" s="4">
        <v>74</v>
      </c>
      <c r="G18" s="14">
        <v>1</v>
      </c>
      <c r="H18" s="14">
        <v>1</v>
      </c>
      <c r="J18">
        <f t="shared" si="0"/>
        <v>181</v>
      </c>
    </row>
    <row r="19" spans="1:10" ht="19.5" customHeight="1" x14ac:dyDescent="0.25">
      <c r="G19" s="15">
        <f>577/(577+8)</f>
        <v>0.98632478632478637</v>
      </c>
      <c r="H19" s="15">
        <f>2097/(2097+23)</f>
        <v>0.98915094339622645</v>
      </c>
    </row>
    <row r="21" spans="1:10" x14ac:dyDescent="0.25">
      <c r="A21" s="31" t="s">
        <v>130</v>
      </c>
      <c r="B21" s="31"/>
      <c r="C21" s="31"/>
      <c r="D21" s="31"/>
      <c r="E21" s="31"/>
      <c r="F21" s="31"/>
      <c r="G21" s="31"/>
      <c r="H21" s="31"/>
    </row>
    <row r="22" spans="1:10" x14ac:dyDescent="0.25">
      <c r="A22" s="31"/>
      <c r="B22" s="31"/>
      <c r="C22" s="31"/>
      <c r="D22" s="31"/>
      <c r="E22" s="31"/>
      <c r="F22" s="31"/>
      <c r="G22" s="31"/>
      <c r="H22" s="31"/>
    </row>
    <row r="23" spans="1:10" x14ac:dyDescent="0.25">
      <c r="A23" s="31"/>
      <c r="B23" s="31"/>
      <c r="C23" s="31"/>
      <c r="D23" s="31"/>
      <c r="E23" s="31"/>
      <c r="F23" s="31"/>
      <c r="G23" s="31"/>
      <c r="H23" s="31"/>
    </row>
    <row r="27" spans="1:10" x14ac:dyDescent="0.25">
      <c r="B27" t="s">
        <v>131</v>
      </c>
    </row>
  </sheetData>
  <mergeCells count="8">
    <mergeCell ref="A21:H23"/>
    <mergeCell ref="A12:A13"/>
    <mergeCell ref="A2:A3"/>
    <mergeCell ref="B2:B3"/>
    <mergeCell ref="E2:F2"/>
    <mergeCell ref="C2:D2"/>
    <mergeCell ref="A4:A6"/>
    <mergeCell ref="A7:A11"/>
  </mergeCells>
  <pageMargins left="0.25" right="0.25" top="0.75" bottom="0.75" header="0.3" footer="0.3"/>
  <pageSetup scale="9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tabSelected="1" zoomScaleNormal="100" zoomScaleSheetLayoutView="100" workbookViewId="0">
      <pane ySplit="2" topLeftCell="A3" activePane="bottomLeft" state="frozen"/>
      <selection activeCell="F5" sqref="F5"/>
      <selection pane="bottomLeft" activeCell="I6" sqref="I6"/>
    </sheetView>
  </sheetViews>
  <sheetFormatPr defaultRowHeight="15.75" x14ac:dyDescent="0.25"/>
  <cols>
    <col min="1" max="1" width="18" style="21" customWidth="1"/>
    <col min="2" max="2" width="31.85546875" style="21" bestFit="1" customWidth="1"/>
    <col min="3" max="3" width="33.28515625" style="21" customWidth="1"/>
    <col min="4" max="5" width="15.5703125" style="30" bestFit="1" customWidth="1"/>
    <col min="6" max="6" width="12.85546875" style="30" bestFit="1" customWidth="1"/>
    <col min="7" max="7" width="8" style="28" bestFit="1" customWidth="1"/>
    <col min="8" max="8" width="8.42578125" style="28" bestFit="1" customWidth="1"/>
    <col min="9" max="9" width="15.5703125" style="30" bestFit="1" customWidth="1"/>
    <col min="10" max="10" width="8.5703125" style="24" bestFit="1" customWidth="1"/>
    <col min="11" max="16384" width="9.140625" style="21"/>
  </cols>
  <sheetData>
    <row r="1" spans="1:10" x14ac:dyDescent="0.25">
      <c r="A1" s="36" t="s">
        <v>149</v>
      </c>
      <c r="B1" s="37"/>
      <c r="C1" s="37"/>
      <c r="D1" s="37"/>
      <c r="E1" s="37"/>
      <c r="F1" s="37"/>
      <c r="G1" s="37"/>
      <c r="H1" s="37"/>
      <c r="I1" s="37"/>
    </row>
    <row r="2" spans="1:10" ht="32.25" customHeight="1" x14ac:dyDescent="0.25">
      <c r="A2" s="20" t="s">
        <v>30</v>
      </c>
      <c r="B2" s="20" t="s">
        <v>0</v>
      </c>
      <c r="C2" s="20" t="s">
        <v>1</v>
      </c>
      <c r="D2" s="25" t="s">
        <v>128</v>
      </c>
      <c r="E2" s="25" t="s">
        <v>147</v>
      </c>
      <c r="F2" s="25" t="s">
        <v>148</v>
      </c>
      <c r="G2" s="26" t="s">
        <v>144</v>
      </c>
      <c r="H2" s="26" t="s">
        <v>145</v>
      </c>
      <c r="I2" s="25" t="s">
        <v>127</v>
      </c>
      <c r="J2" s="27" t="s">
        <v>31</v>
      </c>
    </row>
    <row r="3" spans="1:10" ht="18.75" customHeight="1" x14ac:dyDescent="0.25">
      <c r="A3" s="22" t="s">
        <v>32</v>
      </c>
      <c r="B3" s="20" t="s">
        <v>6</v>
      </c>
      <c r="C3" s="20" t="s">
        <v>7</v>
      </c>
      <c r="D3" s="25">
        <v>0.48543689320388345</v>
      </c>
      <c r="E3" s="25">
        <f t="shared" ref="E3:E33" si="0">G3/104*100</f>
        <v>1.9230769230769231</v>
      </c>
      <c r="F3" s="25">
        <f t="shared" ref="F3:F33" si="1">H3/536*100</f>
        <v>0</v>
      </c>
      <c r="G3" s="26">
        <v>2</v>
      </c>
      <c r="H3" s="26">
        <v>0</v>
      </c>
      <c r="I3" s="25">
        <f t="shared" ref="I3:I33" si="2">J3/640*100</f>
        <v>0.3125</v>
      </c>
      <c r="J3" s="27">
        <v>2</v>
      </c>
    </row>
    <row r="4" spans="1:10" ht="18.75" customHeight="1" x14ac:dyDescent="0.25">
      <c r="A4" s="22" t="s">
        <v>33</v>
      </c>
      <c r="B4" s="20" t="s">
        <v>6</v>
      </c>
      <c r="C4" s="20" t="s">
        <v>7</v>
      </c>
      <c r="D4" s="25">
        <v>0.97087378640776689</v>
      </c>
      <c r="E4" s="25">
        <f t="shared" si="0"/>
        <v>3.8461538461538463</v>
      </c>
      <c r="F4" s="25">
        <f t="shared" si="1"/>
        <v>4.8507462686567164</v>
      </c>
      <c r="G4" s="26">
        <v>4</v>
      </c>
      <c r="H4" s="26">
        <v>26</v>
      </c>
      <c r="I4" s="25">
        <f t="shared" si="2"/>
        <v>4.6875</v>
      </c>
      <c r="J4" s="27">
        <v>30</v>
      </c>
    </row>
    <row r="5" spans="1:10" ht="18.75" customHeight="1" x14ac:dyDescent="0.25">
      <c r="A5" s="22" t="s">
        <v>34</v>
      </c>
      <c r="B5" s="20" t="s">
        <v>6</v>
      </c>
      <c r="C5" s="20" t="s">
        <v>7</v>
      </c>
      <c r="D5" s="25">
        <v>0.48543689320388345</v>
      </c>
      <c r="E5" s="25">
        <f t="shared" si="0"/>
        <v>1.9230769230769231</v>
      </c>
      <c r="F5" s="25">
        <f t="shared" si="1"/>
        <v>0.93283582089552231</v>
      </c>
      <c r="G5" s="26">
        <v>2</v>
      </c>
      <c r="H5" s="26">
        <v>5</v>
      </c>
      <c r="I5" s="25">
        <f t="shared" si="2"/>
        <v>1.09375</v>
      </c>
      <c r="J5" s="27">
        <v>7</v>
      </c>
    </row>
    <row r="6" spans="1:10" ht="18.75" customHeight="1" x14ac:dyDescent="0.25">
      <c r="A6" s="22" t="s">
        <v>35</v>
      </c>
      <c r="B6" s="20" t="s">
        <v>6</v>
      </c>
      <c r="C6" s="20" t="s">
        <v>7</v>
      </c>
      <c r="D6" s="25">
        <v>2.912621359223301</v>
      </c>
      <c r="E6" s="25">
        <f t="shared" si="0"/>
        <v>11.538461538461538</v>
      </c>
      <c r="F6" s="25">
        <f t="shared" si="1"/>
        <v>8.2089552238805972</v>
      </c>
      <c r="G6" s="26">
        <v>12</v>
      </c>
      <c r="H6" s="26">
        <v>44</v>
      </c>
      <c r="I6" s="25">
        <f t="shared" si="2"/>
        <v>8.75</v>
      </c>
      <c r="J6" s="27">
        <v>56</v>
      </c>
    </row>
    <row r="7" spans="1:10" ht="18.75" customHeight="1" x14ac:dyDescent="0.25">
      <c r="A7" s="22" t="s">
        <v>111</v>
      </c>
      <c r="B7" s="20" t="s">
        <v>6</v>
      </c>
      <c r="C7" s="20" t="s">
        <v>9</v>
      </c>
      <c r="D7" s="25"/>
      <c r="E7" s="25">
        <f t="shared" si="0"/>
        <v>0</v>
      </c>
      <c r="F7" s="25">
        <f t="shared" si="1"/>
        <v>0.74626865671641784</v>
      </c>
      <c r="G7" s="28">
        <v>0</v>
      </c>
      <c r="H7" s="26">
        <v>4</v>
      </c>
      <c r="I7" s="25">
        <f t="shared" si="2"/>
        <v>0.625</v>
      </c>
      <c r="J7" s="27">
        <v>4</v>
      </c>
    </row>
    <row r="8" spans="1:10" ht="18.75" customHeight="1" x14ac:dyDescent="0.25">
      <c r="A8" s="22" t="s">
        <v>42</v>
      </c>
      <c r="B8" s="20" t="s">
        <v>6</v>
      </c>
      <c r="C8" s="20" t="s">
        <v>9</v>
      </c>
      <c r="D8" s="25">
        <v>4.6116504854368934</v>
      </c>
      <c r="E8" s="25">
        <f t="shared" si="0"/>
        <v>0.96153846153846156</v>
      </c>
      <c r="F8" s="25">
        <f t="shared" si="1"/>
        <v>0</v>
      </c>
      <c r="G8" s="26">
        <v>1</v>
      </c>
      <c r="H8" s="26">
        <v>0</v>
      </c>
      <c r="I8" s="25">
        <f t="shared" si="2"/>
        <v>0.15625</v>
      </c>
      <c r="J8" s="27">
        <v>1</v>
      </c>
    </row>
    <row r="9" spans="1:10" ht="18.75" customHeight="1" x14ac:dyDescent="0.25">
      <c r="A9" s="22" t="s">
        <v>43</v>
      </c>
      <c r="B9" s="20" t="s">
        <v>6</v>
      </c>
      <c r="C9" s="20" t="s">
        <v>9</v>
      </c>
      <c r="D9" s="25">
        <v>0.48543689320388345</v>
      </c>
      <c r="E9" s="25">
        <f t="shared" si="0"/>
        <v>20.192307692307693</v>
      </c>
      <c r="F9" s="25">
        <f t="shared" si="1"/>
        <v>14.55223880597015</v>
      </c>
      <c r="G9" s="26">
        <v>21</v>
      </c>
      <c r="H9" s="26">
        <v>78</v>
      </c>
      <c r="I9" s="25">
        <f t="shared" si="2"/>
        <v>15.46875</v>
      </c>
      <c r="J9" s="27">
        <v>99</v>
      </c>
    </row>
    <row r="10" spans="1:10" ht="18.75" customHeight="1" x14ac:dyDescent="0.25">
      <c r="A10" s="22" t="s">
        <v>44</v>
      </c>
      <c r="B10" s="20" t="s">
        <v>6</v>
      </c>
      <c r="C10" s="20" t="s">
        <v>9</v>
      </c>
      <c r="D10" s="25">
        <v>0.72815533980582525</v>
      </c>
      <c r="E10" s="25">
        <f t="shared" si="0"/>
        <v>2.8846153846153846</v>
      </c>
      <c r="F10" s="25">
        <f t="shared" si="1"/>
        <v>0</v>
      </c>
      <c r="G10" s="26">
        <v>3</v>
      </c>
      <c r="H10" s="26">
        <v>0</v>
      </c>
      <c r="I10" s="25">
        <f t="shared" si="2"/>
        <v>0.46875</v>
      </c>
      <c r="J10" s="27">
        <v>3</v>
      </c>
    </row>
    <row r="11" spans="1:10" ht="18.75" customHeight="1" x14ac:dyDescent="0.25">
      <c r="A11" s="22" t="s">
        <v>112</v>
      </c>
      <c r="B11" s="20" t="s">
        <v>6</v>
      </c>
      <c r="C11" s="20" t="s">
        <v>9</v>
      </c>
      <c r="D11" s="25"/>
      <c r="E11" s="25">
        <f t="shared" si="0"/>
        <v>0</v>
      </c>
      <c r="F11" s="25">
        <f t="shared" si="1"/>
        <v>0.18656716417910446</v>
      </c>
      <c r="G11" s="28">
        <v>0</v>
      </c>
      <c r="H11" s="26">
        <v>1</v>
      </c>
      <c r="I11" s="25">
        <f t="shared" si="2"/>
        <v>0.15625</v>
      </c>
      <c r="J11" s="27">
        <v>1</v>
      </c>
    </row>
    <row r="12" spans="1:10" ht="18.75" customHeight="1" x14ac:dyDescent="0.25">
      <c r="A12" s="22" t="s">
        <v>45</v>
      </c>
      <c r="B12" s="20" t="s">
        <v>6</v>
      </c>
      <c r="C12" s="20" t="s">
        <v>9</v>
      </c>
      <c r="D12" s="25">
        <v>3.1553398058252426</v>
      </c>
      <c r="E12" s="25">
        <f t="shared" si="0"/>
        <v>12.5</v>
      </c>
      <c r="F12" s="25">
        <f t="shared" si="1"/>
        <v>3.1716417910447761</v>
      </c>
      <c r="G12" s="26">
        <v>13</v>
      </c>
      <c r="H12" s="26">
        <v>17</v>
      </c>
      <c r="I12" s="25">
        <f t="shared" si="2"/>
        <v>4.6875</v>
      </c>
      <c r="J12" s="27">
        <v>30</v>
      </c>
    </row>
    <row r="13" spans="1:10" ht="18.75" customHeight="1" x14ac:dyDescent="0.25">
      <c r="A13" s="22" t="s">
        <v>47</v>
      </c>
      <c r="B13" s="20" t="s">
        <v>6</v>
      </c>
      <c r="C13" s="20" t="s">
        <v>9</v>
      </c>
      <c r="D13" s="25">
        <v>0.24271844660194172</v>
      </c>
      <c r="E13" s="25">
        <f t="shared" si="0"/>
        <v>0.96153846153846156</v>
      </c>
      <c r="F13" s="25">
        <f t="shared" si="1"/>
        <v>0</v>
      </c>
      <c r="G13" s="26">
        <v>1</v>
      </c>
      <c r="H13" s="26">
        <v>0</v>
      </c>
      <c r="I13" s="25">
        <f t="shared" si="2"/>
        <v>0.15625</v>
      </c>
      <c r="J13" s="27">
        <v>1</v>
      </c>
    </row>
    <row r="14" spans="1:10" ht="18.75" customHeight="1" x14ac:dyDescent="0.25">
      <c r="A14" s="22" t="s">
        <v>48</v>
      </c>
      <c r="B14" s="20" t="s">
        <v>6</v>
      </c>
      <c r="C14" s="20" t="s">
        <v>9</v>
      </c>
      <c r="D14" s="25">
        <v>0.24271844660194172</v>
      </c>
      <c r="E14" s="25">
        <f t="shared" si="0"/>
        <v>0.96153846153846156</v>
      </c>
      <c r="F14" s="25">
        <f t="shared" si="1"/>
        <v>0</v>
      </c>
      <c r="G14" s="26">
        <v>1</v>
      </c>
      <c r="H14" s="26">
        <v>0</v>
      </c>
      <c r="I14" s="25">
        <f t="shared" si="2"/>
        <v>0.15625</v>
      </c>
      <c r="J14" s="27">
        <v>1</v>
      </c>
    </row>
    <row r="15" spans="1:10" ht="18.75" customHeight="1" x14ac:dyDescent="0.25">
      <c r="A15" s="22" t="s">
        <v>49</v>
      </c>
      <c r="B15" s="20" t="s">
        <v>6</v>
      </c>
      <c r="C15" s="20" t="s">
        <v>9</v>
      </c>
      <c r="D15" s="25">
        <v>0.97087378640776689</v>
      </c>
      <c r="E15" s="25">
        <f t="shared" si="0"/>
        <v>3.8461538461538463</v>
      </c>
      <c r="F15" s="25">
        <f t="shared" si="1"/>
        <v>0</v>
      </c>
      <c r="G15" s="26">
        <v>4</v>
      </c>
      <c r="H15" s="26">
        <v>0</v>
      </c>
      <c r="I15" s="25">
        <f t="shared" si="2"/>
        <v>0.625</v>
      </c>
      <c r="J15" s="27">
        <v>4</v>
      </c>
    </row>
    <row r="16" spans="1:10" ht="18.75" customHeight="1" x14ac:dyDescent="0.25">
      <c r="A16" s="22" t="s">
        <v>36</v>
      </c>
      <c r="B16" s="20" t="s">
        <v>6</v>
      </c>
      <c r="C16" s="20" t="s">
        <v>150</v>
      </c>
      <c r="D16" s="25">
        <v>0.24271844660194172</v>
      </c>
      <c r="E16" s="25">
        <f t="shared" si="0"/>
        <v>0.96153846153846156</v>
      </c>
      <c r="F16" s="25">
        <f t="shared" si="1"/>
        <v>1.6791044776119404</v>
      </c>
      <c r="G16" s="28">
        <v>1</v>
      </c>
      <c r="H16" s="26">
        <v>9</v>
      </c>
      <c r="I16" s="25">
        <f t="shared" si="2"/>
        <v>1.5625</v>
      </c>
      <c r="J16" s="27">
        <v>10</v>
      </c>
    </row>
    <row r="17" spans="1:10" ht="18.75" customHeight="1" x14ac:dyDescent="0.25">
      <c r="A17" s="22" t="s">
        <v>142</v>
      </c>
      <c r="B17" s="20" t="s">
        <v>6</v>
      </c>
      <c r="C17" s="20" t="s">
        <v>8</v>
      </c>
      <c r="D17" s="25">
        <v>3.6407766990291259</v>
      </c>
      <c r="E17" s="25">
        <f t="shared" si="0"/>
        <v>14.423076923076922</v>
      </c>
      <c r="F17" s="25">
        <f t="shared" si="1"/>
        <v>8.2089552238805972</v>
      </c>
      <c r="G17" s="26">
        <v>15</v>
      </c>
      <c r="H17" s="26">
        <v>44</v>
      </c>
      <c r="I17" s="25">
        <f t="shared" si="2"/>
        <v>9.21875</v>
      </c>
      <c r="J17" s="27">
        <v>59</v>
      </c>
    </row>
    <row r="18" spans="1:10" ht="18.75" customHeight="1" x14ac:dyDescent="0.25">
      <c r="A18" s="22" t="s">
        <v>39</v>
      </c>
      <c r="B18" s="20" t="s">
        <v>6</v>
      </c>
      <c r="C18" s="20" t="s">
        <v>8</v>
      </c>
      <c r="D18" s="25">
        <v>0.24271844660194172</v>
      </c>
      <c r="E18" s="25">
        <f t="shared" si="0"/>
        <v>0.96153846153846156</v>
      </c>
      <c r="F18" s="25">
        <f t="shared" si="1"/>
        <v>2.6119402985074625</v>
      </c>
      <c r="G18" s="26">
        <v>1</v>
      </c>
      <c r="H18" s="26">
        <v>14</v>
      </c>
      <c r="I18" s="25">
        <f t="shared" si="2"/>
        <v>2.34375</v>
      </c>
      <c r="J18" s="27">
        <v>15</v>
      </c>
    </row>
    <row r="19" spans="1:10" ht="18.75" customHeight="1" x14ac:dyDescent="0.25">
      <c r="A19" s="22" t="s">
        <v>143</v>
      </c>
      <c r="B19" s="20" t="s">
        <v>6</v>
      </c>
      <c r="C19" s="20" t="s">
        <v>41</v>
      </c>
      <c r="D19" s="25">
        <v>0.48543689320388345</v>
      </c>
      <c r="E19" s="25">
        <f t="shared" si="0"/>
        <v>1.9230769230769231</v>
      </c>
      <c r="F19" s="25">
        <f t="shared" si="1"/>
        <v>0.74626865671641784</v>
      </c>
      <c r="G19" s="26">
        <v>2</v>
      </c>
      <c r="H19" s="26">
        <v>4</v>
      </c>
      <c r="I19" s="25">
        <f t="shared" si="2"/>
        <v>0.9375</v>
      </c>
      <c r="J19" s="27">
        <v>6</v>
      </c>
    </row>
    <row r="20" spans="1:10" ht="18.75" customHeight="1" x14ac:dyDescent="0.25">
      <c r="A20" s="22" t="s">
        <v>113</v>
      </c>
      <c r="B20" s="20" t="s">
        <v>6</v>
      </c>
      <c r="C20" s="20" t="s">
        <v>9</v>
      </c>
      <c r="D20" s="25">
        <v>0.24271844660194172</v>
      </c>
      <c r="E20" s="25">
        <f t="shared" si="0"/>
        <v>0.96153846153846156</v>
      </c>
      <c r="F20" s="25">
        <f t="shared" si="1"/>
        <v>2.6119402985074625</v>
      </c>
      <c r="G20" s="26">
        <v>1</v>
      </c>
      <c r="H20" s="26">
        <v>14</v>
      </c>
      <c r="I20" s="25">
        <f t="shared" si="2"/>
        <v>2.34375</v>
      </c>
      <c r="J20" s="27">
        <v>15</v>
      </c>
    </row>
    <row r="21" spans="1:10" ht="18.75" customHeight="1" x14ac:dyDescent="0.25">
      <c r="A21" s="22" t="s">
        <v>134</v>
      </c>
      <c r="B21" s="20" t="s">
        <v>6</v>
      </c>
      <c r="C21" s="20" t="s">
        <v>9</v>
      </c>
      <c r="D21" s="25">
        <v>7.0388349514563107</v>
      </c>
      <c r="E21" s="25">
        <f t="shared" si="0"/>
        <v>27.884615384615387</v>
      </c>
      <c r="F21" s="25">
        <f t="shared" si="1"/>
        <v>29.850746268656714</v>
      </c>
      <c r="G21" s="26">
        <v>29</v>
      </c>
      <c r="H21" s="26">
        <v>160</v>
      </c>
      <c r="I21" s="25">
        <f t="shared" si="2"/>
        <v>29.531249999999996</v>
      </c>
      <c r="J21" s="27">
        <v>189</v>
      </c>
    </row>
    <row r="22" spans="1:10" ht="18.75" customHeight="1" x14ac:dyDescent="0.25">
      <c r="A22" s="22" t="s">
        <v>135</v>
      </c>
      <c r="B22" s="20" t="s">
        <v>6</v>
      </c>
      <c r="C22" s="20" t="s">
        <v>9</v>
      </c>
      <c r="D22" s="25">
        <v>7.0388349514563107</v>
      </c>
      <c r="E22" s="25">
        <f t="shared" si="0"/>
        <v>27.884615384615387</v>
      </c>
      <c r="F22" s="25">
        <f t="shared" si="1"/>
        <v>30.597014925373134</v>
      </c>
      <c r="G22" s="26">
        <v>29</v>
      </c>
      <c r="H22" s="26">
        <v>164</v>
      </c>
      <c r="I22" s="25">
        <f t="shared" si="2"/>
        <v>30.15625</v>
      </c>
      <c r="J22" s="27">
        <v>193</v>
      </c>
    </row>
    <row r="23" spans="1:10" x14ac:dyDescent="0.25">
      <c r="A23" s="22" t="s">
        <v>66</v>
      </c>
      <c r="B23" s="20" t="s">
        <v>140</v>
      </c>
      <c r="C23" s="20" t="s">
        <v>67</v>
      </c>
      <c r="D23" s="25">
        <v>0.24271844660194172</v>
      </c>
      <c r="E23" s="25">
        <f t="shared" si="0"/>
        <v>0.96153846153846156</v>
      </c>
      <c r="F23" s="25">
        <f t="shared" si="1"/>
        <v>2.6119402985074625</v>
      </c>
      <c r="G23" s="28">
        <v>1</v>
      </c>
      <c r="H23" s="26">
        <v>14</v>
      </c>
      <c r="I23" s="25">
        <f t="shared" si="2"/>
        <v>2.34375</v>
      </c>
      <c r="J23" s="27">
        <v>15</v>
      </c>
    </row>
    <row r="24" spans="1:10" x14ac:dyDescent="0.25">
      <c r="A24" s="22" t="s">
        <v>68</v>
      </c>
      <c r="B24" s="20" t="s">
        <v>140</v>
      </c>
      <c r="C24" s="20" t="s">
        <v>67</v>
      </c>
      <c r="D24" s="25">
        <v>0.48543689320388345</v>
      </c>
      <c r="E24" s="25">
        <f t="shared" si="0"/>
        <v>1.9230769230769231</v>
      </c>
      <c r="F24" s="25">
        <f t="shared" si="1"/>
        <v>0.18656716417910446</v>
      </c>
      <c r="G24" s="28">
        <v>2</v>
      </c>
      <c r="H24" s="26">
        <v>1</v>
      </c>
      <c r="I24" s="25">
        <f t="shared" si="2"/>
        <v>0.46875</v>
      </c>
      <c r="J24" s="27">
        <v>3</v>
      </c>
    </row>
    <row r="25" spans="1:10" x14ac:dyDescent="0.25">
      <c r="A25" s="22" t="s">
        <v>72</v>
      </c>
      <c r="B25" s="20" t="s">
        <v>16</v>
      </c>
      <c r="C25" s="20" t="s">
        <v>73</v>
      </c>
      <c r="D25" s="25">
        <v>0.24271844660194172</v>
      </c>
      <c r="E25" s="25">
        <f t="shared" si="0"/>
        <v>0.96153846153846156</v>
      </c>
      <c r="F25" s="25">
        <f t="shared" si="1"/>
        <v>0</v>
      </c>
      <c r="G25" s="26">
        <v>1</v>
      </c>
      <c r="H25" s="26">
        <v>0</v>
      </c>
      <c r="I25" s="25">
        <f t="shared" si="2"/>
        <v>0.15625</v>
      </c>
      <c r="J25" s="27">
        <v>1</v>
      </c>
    </row>
    <row r="26" spans="1:10" ht="18.75" customHeight="1" x14ac:dyDescent="0.25">
      <c r="A26" s="22" t="s">
        <v>74</v>
      </c>
      <c r="B26" s="20" t="s">
        <v>16</v>
      </c>
      <c r="C26" s="20" t="s">
        <v>73</v>
      </c>
      <c r="D26" s="25">
        <v>0.24271844660194172</v>
      </c>
      <c r="E26" s="25">
        <f t="shared" si="0"/>
        <v>0.96153846153846156</v>
      </c>
      <c r="F26" s="25">
        <f t="shared" si="1"/>
        <v>0</v>
      </c>
      <c r="G26" s="26">
        <v>1</v>
      </c>
      <c r="H26" s="26">
        <v>0</v>
      </c>
      <c r="I26" s="25">
        <f t="shared" si="2"/>
        <v>0.15625</v>
      </c>
      <c r="J26" s="27">
        <v>1</v>
      </c>
    </row>
    <row r="27" spans="1:10" ht="18.75" customHeight="1" x14ac:dyDescent="0.25">
      <c r="A27" s="22" t="s">
        <v>75</v>
      </c>
      <c r="B27" s="20" t="s">
        <v>16</v>
      </c>
      <c r="C27" s="20" t="s">
        <v>73</v>
      </c>
      <c r="D27" s="25">
        <v>0.97087378640776689</v>
      </c>
      <c r="E27" s="25">
        <f t="shared" si="0"/>
        <v>3.8461538461538463</v>
      </c>
      <c r="F27" s="25">
        <f t="shared" si="1"/>
        <v>0</v>
      </c>
      <c r="G27" s="26">
        <v>4</v>
      </c>
      <c r="H27" s="26">
        <v>0</v>
      </c>
      <c r="I27" s="25">
        <f t="shared" si="2"/>
        <v>0.625</v>
      </c>
      <c r="J27" s="27">
        <v>4</v>
      </c>
    </row>
    <row r="28" spans="1:10" ht="18.75" customHeight="1" x14ac:dyDescent="0.25">
      <c r="A28" s="22" t="s">
        <v>76</v>
      </c>
      <c r="B28" s="20" t="s">
        <v>16</v>
      </c>
      <c r="C28" s="20" t="s">
        <v>73</v>
      </c>
      <c r="D28" s="25">
        <v>0.97087378640776689</v>
      </c>
      <c r="E28" s="25">
        <f t="shared" si="0"/>
        <v>3.8461538461538463</v>
      </c>
      <c r="F28" s="25">
        <f t="shared" si="1"/>
        <v>0</v>
      </c>
      <c r="G28" s="26">
        <v>4</v>
      </c>
      <c r="H28" s="26">
        <v>0</v>
      </c>
      <c r="I28" s="25">
        <f t="shared" si="2"/>
        <v>0.625</v>
      </c>
      <c r="J28" s="27">
        <v>4</v>
      </c>
    </row>
    <row r="29" spans="1:10" ht="18.75" customHeight="1" x14ac:dyDescent="0.25">
      <c r="A29" s="22" t="s">
        <v>77</v>
      </c>
      <c r="B29" s="20" t="s">
        <v>16</v>
      </c>
      <c r="C29" s="20" t="s">
        <v>73</v>
      </c>
      <c r="D29" s="25">
        <v>0.72815533980582525</v>
      </c>
      <c r="E29" s="25">
        <f t="shared" si="0"/>
        <v>2.8846153846153846</v>
      </c>
      <c r="F29" s="25">
        <f t="shared" si="1"/>
        <v>0</v>
      </c>
      <c r="G29" s="26">
        <v>3</v>
      </c>
      <c r="H29" s="26">
        <v>0</v>
      </c>
      <c r="I29" s="25">
        <f t="shared" si="2"/>
        <v>0.46875</v>
      </c>
      <c r="J29" s="27">
        <v>3</v>
      </c>
    </row>
    <row r="30" spans="1:10" ht="18.75" customHeight="1" x14ac:dyDescent="0.25">
      <c r="A30" s="22" t="s">
        <v>120</v>
      </c>
      <c r="B30" s="20" t="s">
        <v>16</v>
      </c>
      <c r="C30" s="20" t="s">
        <v>73</v>
      </c>
      <c r="D30" s="25"/>
      <c r="E30" s="25">
        <f t="shared" si="0"/>
        <v>0</v>
      </c>
      <c r="F30" s="25">
        <f t="shared" si="1"/>
        <v>0.37313432835820892</v>
      </c>
      <c r="G30" s="28">
        <v>0</v>
      </c>
      <c r="H30" s="28">
        <v>2</v>
      </c>
      <c r="I30" s="25">
        <f t="shared" si="2"/>
        <v>0.3125</v>
      </c>
      <c r="J30" s="27">
        <v>2</v>
      </c>
    </row>
    <row r="31" spans="1:10" ht="18.75" customHeight="1" x14ac:dyDescent="0.25">
      <c r="A31" s="22" t="s">
        <v>78</v>
      </c>
      <c r="B31" s="20" t="s">
        <v>16</v>
      </c>
      <c r="C31" s="20" t="s">
        <v>73</v>
      </c>
      <c r="D31" s="25">
        <v>0.24271844660194172</v>
      </c>
      <c r="E31" s="25">
        <f t="shared" si="0"/>
        <v>0.96153846153846156</v>
      </c>
      <c r="F31" s="25">
        <f t="shared" si="1"/>
        <v>0</v>
      </c>
      <c r="G31" s="26">
        <v>1</v>
      </c>
      <c r="H31" s="26">
        <v>0</v>
      </c>
      <c r="I31" s="25">
        <f t="shared" si="2"/>
        <v>0.15625</v>
      </c>
      <c r="J31" s="27">
        <v>1</v>
      </c>
    </row>
    <row r="32" spans="1:10" ht="18.75" customHeight="1" x14ac:dyDescent="0.25">
      <c r="A32" s="22" t="s">
        <v>79</v>
      </c>
      <c r="B32" s="20" t="s">
        <v>16</v>
      </c>
      <c r="C32" s="20" t="s">
        <v>73</v>
      </c>
      <c r="D32" s="25">
        <v>0.72815533980582525</v>
      </c>
      <c r="E32" s="25">
        <f t="shared" si="0"/>
        <v>2.8846153846153846</v>
      </c>
      <c r="F32" s="25">
        <f t="shared" si="1"/>
        <v>0</v>
      </c>
      <c r="G32" s="26">
        <v>3</v>
      </c>
      <c r="H32" s="26">
        <v>0</v>
      </c>
      <c r="I32" s="25">
        <f t="shared" si="2"/>
        <v>0.46875</v>
      </c>
      <c r="J32" s="27">
        <v>3</v>
      </c>
    </row>
    <row r="33" spans="1:10" ht="18.75" customHeight="1" x14ac:dyDescent="0.25">
      <c r="A33" s="22" t="s">
        <v>69</v>
      </c>
      <c r="B33" s="20" t="s">
        <v>16</v>
      </c>
      <c r="C33" s="20" t="s">
        <v>17</v>
      </c>
      <c r="D33" s="25">
        <v>8.7378640776699026</v>
      </c>
      <c r="E33" s="25">
        <f t="shared" si="0"/>
        <v>34.615384615384613</v>
      </c>
      <c r="F33" s="25">
        <f t="shared" si="1"/>
        <v>11.007462686567164</v>
      </c>
      <c r="G33" s="26">
        <v>36</v>
      </c>
      <c r="H33" s="26">
        <v>59</v>
      </c>
      <c r="I33" s="25">
        <f t="shared" si="2"/>
        <v>14.84375</v>
      </c>
      <c r="J33" s="27">
        <v>95</v>
      </c>
    </row>
    <row r="34" spans="1:10" ht="18.75" customHeight="1" x14ac:dyDescent="0.25">
      <c r="A34" s="22" t="s">
        <v>70</v>
      </c>
      <c r="B34" s="20" t="s">
        <v>16</v>
      </c>
      <c r="C34" s="20" t="s">
        <v>17</v>
      </c>
      <c r="D34" s="25">
        <v>6.5533980582524274</v>
      </c>
      <c r="E34" s="25">
        <f t="shared" ref="E34:E67" si="3">G34/104*100</f>
        <v>25.961538461538463</v>
      </c>
      <c r="F34" s="25">
        <f t="shared" ref="F34:F67" si="4">H34/536*100</f>
        <v>25.373134328358208</v>
      </c>
      <c r="G34" s="26">
        <v>27</v>
      </c>
      <c r="H34" s="26">
        <v>136</v>
      </c>
      <c r="I34" s="25">
        <f t="shared" ref="I34:I65" si="5">J34/640*100</f>
        <v>25.46875</v>
      </c>
      <c r="J34" s="27">
        <v>163</v>
      </c>
    </row>
    <row r="35" spans="1:10" ht="18.75" customHeight="1" x14ac:dyDescent="0.25">
      <c r="A35" s="22" t="s">
        <v>71</v>
      </c>
      <c r="B35" s="20" t="s">
        <v>16</v>
      </c>
      <c r="C35" s="20" t="s">
        <v>17</v>
      </c>
      <c r="D35" s="25">
        <v>0.72815533980582525</v>
      </c>
      <c r="E35" s="25">
        <f t="shared" si="3"/>
        <v>2.8846153846153846</v>
      </c>
      <c r="F35" s="25">
        <f t="shared" si="4"/>
        <v>0.37313432835820892</v>
      </c>
      <c r="G35" s="26">
        <v>3</v>
      </c>
      <c r="H35" s="26">
        <v>2</v>
      </c>
      <c r="I35" s="25">
        <f t="shared" si="5"/>
        <v>0.78125</v>
      </c>
      <c r="J35" s="27">
        <v>5</v>
      </c>
    </row>
    <row r="36" spans="1:10" ht="18.75" customHeight="1" x14ac:dyDescent="0.25">
      <c r="A36" s="22" t="s">
        <v>138</v>
      </c>
      <c r="B36" s="20" t="s">
        <v>141</v>
      </c>
      <c r="C36" s="20" t="s">
        <v>139</v>
      </c>
      <c r="D36" s="25"/>
      <c r="E36" s="25">
        <f t="shared" si="3"/>
        <v>0</v>
      </c>
      <c r="F36" s="25">
        <f t="shared" si="4"/>
        <v>0.18656716417910446</v>
      </c>
      <c r="G36" s="26">
        <v>0</v>
      </c>
      <c r="H36" s="26">
        <v>1</v>
      </c>
      <c r="I36" s="25">
        <f t="shared" si="5"/>
        <v>0.15625</v>
      </c>
      <c r="J36" s="27">
        <v>1</v>
      </c>
    </row>
    <row r="37" spans="1:10" ht="18.75" customHeight="1" x14ac:dyDescent="0.25">
      <c r="A37" s="22" t="s">
        <v>80</v>
      </c>
      <c r="B37" s="20" t="s">
        <v>19</v>
      </c>
      <c r="C37" s="20" t="s">
        <v>81</v>
      </c>
      <c r="D37" s="25">
        <v>0.24271844660194172</v>
      </c>
      <c r="E37" s="25">
        <f t="shared" si="3"/>
        <v>0.96153846153846156</v>
      </c>
      <c r="F37" s="25">
        <f t="shared" si="4"/>
        <v>0</v>
      </c>
      <c r="G37" s="26">
        <v>1</v>
      </c>
      <c r="H37" s="26">
        <v>0</v>
      </c>
      <c r="I37" s="25">
        <f t="shared" si="5"/>
        <v>0.15625</v>
      </c>
      <c r="J37" s="27">
        <v>1</v>
      </c>
    </row>
    <row r="38" spans="1:10" ht="18.75" customHeight="1" x14ac:dyDescent="0.25">
      <c r="A38" s="22" t="s">
        <v>82</v>
      </c>
      <c r="B38" s="20" t="s">
        <v>19</v>
      </c>
      <c r="C38" s="20" t="s">
        <v>81</v>
      </c>
      <c r="D38" s="25">
        <v>0.24271844660194172</v>
      </c>
      <c r="E38" s="25">
        <f t="shared" si="3"/>
        <v>0.96153846153846156</v>
      </c>
      <c r="F38" s="25">
        <f t="shared" si="4"/>
        <v>0</v>
      </c>
      <c r="G38" s="26">
        <v>1</v>
      </c>
      <c r="H38" s="26">
        <v>0</v>
      </c>
      <c r="I38" s="25">
        <f t="shared" si="5"/>
        <v>0.15625</v>
      </c>
      <c r="J38" s="27">
        <v>1</v>
      </c>
    </row>
    <row r="39" spans="1:10" ht="18.75" customHeight="1" x14ac:dyDescent="0.25">
      <c r="A39" s="22" t="s">
        <v>83</v>
      </c>
      <c r="B39" s="20" t="s">
        <v>19</v>
      </c>
      <c r="C39" s="20" t="s">
        <v>81</v>
      </c>
      <c r="D39" s="25">
        <v>0.24271844660194172</v>
      </c>
      <c r="E39" s="25">
        <f t="shared" si="3"/>
        <v>0.96153846153846156</v>
      </c>
      <c r="F39" s="25">
        <f t="shared" si="4"/>
        <v>0</v>
      </c>
      <c r="G39" s="26">
        <v>1</v>
      </c>
      <c r="H39" s="26">
        <v>0</v>
      </c>
      <c r="I39" s="25">
        <f t="shared" si="5"/>
        <v>0.15625</v>
      </c>
      <c r="J39" s="27">
        <v>1</v>
      </c>
    </row>
    <row r="40" spans="1:10" ht="18.75" customHeight="1" x14ac:dyDescent="0.25">
      <c r="A40" s="22" t="s">
        <v>151</v>
      </c>
      <c r="B40" s="20" t="s">
        <v>19</v>
      </c>
      <c r="C40" s="20" t="s">
        <v>20</v>
      </c>
      <c r="D40" s="25">
        <v>0.24271844660194172</v>
      </c>
      <c r="E40" s="25">
        <f t="shared" si="3"/>
        <v>0.96153846153846156</v>
      </c>
      <c r="F40" s="25">
        <f t="shared" si="4"/>
        <v>0</v>
      </c>
      <c r="G40" s="26">
        <v>1</v>
      </c>
      <c r="H40" s="26">
        <v>0</v>
      </c>
      <c r="I40" s="25">
        <f t="shared" si="5"/>
        <v>0.15625</v>
      </c>
      <c r="J40" s="27">
        <v>1</v>
      </c>
    </row>
    <row r="41" spans="1:10" ht="18.75" customHeight="1" x14ac:dyDescent="0.25">
      <c r="A41" s="22" t="s">
        <v>85</v>
      </c>
      <c r="B41" s="20" t="s">
        <v>21</v>
      </c>
      <c r="C41" s="20" t="s">
        <v>22</v>
      </c>
      <c r="D41" s="25">
        <v>0.24271844660194172</v>
      </c>
      <c r="E41" s="25">
        <f t="shared" si="3"/>
        <v>0.96153846153846156</v>
      </c>
      <c r="F41" s="25">
        <f t="shared" si="4"/>
        <v>0.18656716417910446</v>
      </c>
      <c r="G41" s="26">
        <v>1</v>
      </c>
      <c r="H41" s="26">
        <v>1</v>
      </c>
      <c r="I41" s="25">
        <f t="shared" si="5"/>
        <v>0.3125</v>
      </c>
      <c r="J41" s="27">
        <v>2</v>
      </c>
    </row>
    <row r="42" spans="1:10" ht="18.75" customHeight="1" x14ac:dyDescent="0.25">
      <c r="A42" s="22" t="s">
        <v>86</v>
      </c>
      <c r="B42" s="20" t="s">
        <v>21</v>
      </c>
      <c r="C42" s="20" t="s">
        <v>22</v>
      </c>
      <c r="D42" s="25">
        <v>0.48543689320388345</v>
      </c>
      <c r="E42" s="25">
        <f t="shared" si="3"/>
        <v>2.8846153846153846</v>
      </c>
      <c r="F42" s="25">
        <f t="shared" si="4"/>
        <v>0.74626865671641784</v>
      </c>
      <c r="G42" s="29">
        <v>3</v>
      </c>
      <c r="H42" s="26">
        <v>4</v>
      </c>
      <c r="I42" s="25">
        <f t="shared" si="5"/>
        <v>1.09375</v>
      </c>
      <c r="J42" s="27">
        <v>7</v>
      </c>
    </row>
    <row r="43" spans="1:10" ht="18.75" customHeight="1" x14ac:dyDescent="0.25">
      <c r="A43" s="22" t="s">
        <v>88</v>
      </c>
      <c r="B43" s="20" t="s">
        <v>21</v>
      </c>
      <c r="C43" s="20" t="s">
        <v>22</v>
      </c>
      <c r="D43" s="25">
        <v>5.3398058252427179</v>
      </c>
      <c r="E43" s="25">
        <f t="shared" si="3"/>
        <v>21.153846153846153</v>
      </c>
      <c r="F43" s="25">
        <f t="shared" si="4"/>
        <v>2.9850746268656714</v>
      </c>
      <c r="G43" s="28">
        <v>22</v>
      </c>
      <c r="H43" s="26">
        <v>16</v>
      </c>
      <c r="I43" s="25">
        <f t="shared" si="5"/>
        <v>5.9375</v>
      </c>
      <c r="J43" s="27">
        <v>38</v>
      </c>
    </row>
    <row r="44" spans="1:10" ht="18.75" customHeight="1" x14ac:dyDescent="0.25">
      <c r="A44" s="22" t="s">
        <v>89</v>
      </c>
      <c r="B44" s="20" t="s">
        <v>152</v>
      </c>
      <c r="C44" s="20" t="s">
        <v>153</v>
      </c>
      <c r="D44" s="25">
        <v>0.24271844660194172</v>
      </c>
      <c r="E44" s="25">
        <f t="shared" si="3"/>
        <v>0.96153846153846156</v>
      </c>
      <c r="F44" s="25">
        <f t="shared" si="4"/>
        <v>0</v>
      </c>
      <c r="G44" s="26">
        <v>1</v>
      </c>
      <c r="H44" s="26">
        <v>0</v>
      </c>
      <c r="I44" s="25">
        <f t="shared" si="5"/>
        <v>0.15625</v>
      </c>
      <c r="J44" s="27">
        <v>1</v>
      </c>
    </row>
    <row r="45" spans="1:10" ht="18.75" customHeight="1" x14ac:dyDescent="0.25">
      <c r="A45" s="22" t="s">
        <v>92</v>
      </c>
      <c r="B45" s="20" t="s">
        <v>152</v>
      </c>
      <c r="C45" s="20" t="s">
        <v>153</v>
      </c>
      <c r="D45" s="25">
        <v>0.24271844660194172</v>
      </c>
      <c r="E45" s="25">
        <f t="shared" si="3"/>
        <v>0.96153846153846156</v>
      </c>
      <c r="F45" s="25">
        <f t="shared" si="4"/>
        <v>0</v>
      </c>
      <c r="G45" s="26">
        <v>1</v>
      </c>
      <c r="H45" s="26">
        <v>0</v>
      </c>
      <c r="I45" s="25">
        <f t="shared" si="5"/>
        <v>0.15625</v>
      </c>
      <c r="J45" s="27">
        <v>1</v>
      </c>
    </row>
    <row r="46" spans="1:10" ht="18.75" customHeight="1" x14ac:dyDescent="0.25">
      <c r="A46" s="22" t="s">
        <v>93</v>
      </c>
      <c r="B46" s="20" t="s">
        <v>94</v>
      </c>
      <c r="C46" s="20" t="s">
        <v>95</v>
      </c>
      <c r="D46" s="25">
        <v>0.72815533980582525</v>
      </c>
      <c r="E46" s="25">
        <f t="shared" si="3"/>
        <v>2.8846153846153846</v>
      </c>
      <c r="F46" s="25">
        <f t="shared" si="4"/>
        <v>0.37313432835820892</v>
      </c>
      <c r="G46" s="26">
        <v>3</v>
      </c>
      <c r="H46" s="26">
        <v>2</v>
      </c>
      <c r="I46" s="25">
        <f t="shared" si="5"/>
        <v>0.78125</v>
      </c>
      <c r="J46" s="27">
        <v>5</v>
      </c>
    </row>
    <row r="47" spans="1:10" ht="18.75" customHeight="1" x14ac:dyDescent="0.25">
      <c r="A47" s="22" t="s">
        <v>96</v>
      </c>
      <c r="B47" s="20" t="s">
        <v>23</v>
      </c>
      <c r="C47" s="20" t="s">
        <v>97</v>
      </c>
      <c r="D47" s="25">
        <v>0.24271844660194172</v>
      </c>
      <c r="E47" s="25">
        <f t="shared" si="3"/>
        <v>0.96153846153846156</v>
      </c>
      <c r="F47" s="25">
        <f t="shared" si="4"/>
        <v>0</v>
      </c>
      <c r="G47" s="26">
        <v>1</v>
      </c>
      <c r="H47" s="26">
        <v>0</v>
      </c>
      <c r="I47" s="25">
        <f t="shared" si="5"/>
        <v>0.15625</v>
      </c>
      <c r="J47" s="27">
        <v>1</v>
      </c>
    </row>
    <row r="48" spans="1:10" ht="18.75" customHeight="1" x14ac:dyDescent="0.25">
      <c r="A48" s="22" t="s">
        <v>98</v>
      </c>
      <c r="B48" s="20" t="s">
        <v>23</v>
      </c>
      <c r="C48" s="20" t="s">
        <v>97</v>
      </c>
      <c r="D48" s="25">
        <v>1.2135922330097086</v>
      </c>
      <c r="E48" s="25">
        <f t="shared" si="3"/>
        <v>4.8076923076923084</v>
      </c>
      <c r="F48" s="25">
        <f t="shared" si="4"/>
        <v>0</v>
      </c>
      <c r="G48" s="26">
        <v>5</v>
      </c>
      <c r="H48" s="26">
        <v>0</v>
      </c>
      <c r="I48" s="25">
        <f t="shared" si="5"/>
        <v>0.78125</v>
      </c>
      <c r="J48" s="27">
        <v>5</v>
      </c>
    </row>
    <row r="49" spans="1:10" ht="18.75" customHeight="1" x14ac:dyDescent="0.25">
      <c r="A49" s="22" t="s">
        <v>99</v>
      </c>
      <c r="B49" s="20" t="s">
        <v>23</v>
      </c>
      <c r="C49" s="20" t="s">
        <v>97</v>
      </c>
      <c r="D49" s="25">
        <v>0.72815533980582525</v>
      </c>
      <c r="E49" s="25">
        <f t="shared" si="3"/>
        <v>2.8846153846153846</v>
      </c>
      <c r="F49" s="25">
        <f t="shared" si="4"/>
        <v>0</v>
      </c>
      <c r="G49" s="26">
        <v>3</v>
      </c>
      <c r="H49" s="26">
        <v>0</v>
      </c>
      <c r="I49" s="25">
        <f t="shared" si="5"/>
        <v>0.46875</v>
      </c>
      <c r="J49" s="27">
        <v>3</v>
      </c>
    </row>
    <row r="50" spans="1:10" ht="18.75" customHeight="1" x14ac:dyDescent="0.25">
      <c r="A50" s="22" t="s">
        <v>100</v>
      </c>
      <c r="B50" s="20" t="s">
        <v>26</v>
      </c>
      <c r="C50" s="20" t="s">
        <v>27</v>
      </c>
      <c r="D50" s="25">
        <v>10.194174757281553</v>
      </c>
      <c r="E50" s="25">
        <f t="shared" si="3"/>
        <v>40.384615384615387</v>
      </c>
      <c r="F50" s="25">
        <f t="shared" si="4"/>
        <v>33.582089552238806</v>
      </c>
      <c r="G50" s="26">
        <v>42</v>
      </c>
      <c r="H50" s="26">
        <v>180</v>
      </c>
      <c r="I50" s="25">
        <f t="shared" si="5"/>
        <v>34.6875</v>
      </c>
      <c r="J50" s="27">
        <v>222</v>
      </c>
    </row>
    <row r="51" spans="1:10" ht="18.75" customHeight="1" x14ac:dyDescent="0.25">
      <c r="A51" s="22" t="s">
        <v>101</v>
      </c>
      <c r="B51" s="20" t="s">
        <v>26</v>
      </c>
      <c r="C51" s="20" t="s">
        <v>27</v>
      </c>
      <c r="D51" s="25">
        <v>2.6699029126213589</v>
      </c>
      <c r="E51" s="25">
        <f t="shared" si="3"/>
        <v>10.576923076923077</v>
      </c>
      <c r="F51" s="25">
        <f t="shared" si="4"/>
        <v>20.335820895522389</v>
      </c>
      <c r="G51" s="26">
        <v>11</v>
      </c>
      <c r="H51" s="26">
        <v>109</v>
      </c>
      <c r="I51" s="25">
        <f t="shared" si="5"/>
        <v>18.75</v>
      </c>
      <c r="J51" s="27">
        <v>120</v>
      </c>
    </row>
    <row r="52" spans="1:10" ht="18.75" customHeight="1" x14ac:dyDescent="0.25">
      <c r="A52" s="22" t="s">
        <v>102</v>
      </c>
      <c r="B52" s="20" t="s">
        <v>26</v>
      </c>
      <c r="C52" s="20" t="s">
        <v>27</v>
      </c>
      <c r="D52" s="25">
        <v>2.912621359223301</v>
      </c>
      <c r="E52" s="25">
        <f t="shared" si="3"/>
        <v>11.538461538461538</v>
      </c>
      <c r="F52" s="25">
        <f t="shared" si="4"/>
        <v>21.455223880597014</v>
      </c>
      <c r="G52" s="26">
        <v>12</v>
      </c>
      <c r="H52" s="26">
        <v>115</v>
      </c>
      <c r="I52" s="25">
        <f t="shared" si="5"/>
        <v>19.84375</v>
      </c>
      <c r="J52" s="27">
        <v>127</v>
      </c>
    </row>
    <row r="53" spans="1:10" ht="18.75" customHeight="1" x14ac:dyDescent="0.25">
      <c r="A53" s="22" t="s">
        <v>103</v>
      </c>
      <c r="B53" s="20" t="s">
        <v>26</v>
      </c>
      <c r="C53" s="20" t="s">
        <v>27</v>
      </c>
      <c r="D53" s="25">
        <v>1.9417475728155338</v>
      </c>
      <c r="E53" s="25">
        <f t="shared" si="3"/>
        <v>7.6923076923076925</v>
      </c>
      <c r="F53" s="25">
        <f t="shared" si="4"/>
        <v>17.910447761194028</v>
      </c>
      <c r="G53" s="26">
        <v>8</v>
      </c>
      <c r="H53" s="26">
        <v>96</v>
      </c>
      <c r="I53" s="25">
        <f t="shared" si="5"/>
        <v>16.25</v>
      </c>
      <c r="J53" s="27">
        <v>104</v>
      </c>
    </row>
    <row r="54" spans="1:10" ht="18.75" customHeight="1" x14ac:dyDescent="0.25">
      <c r="A54" s="22" t="s">
        <v>104</v>
      </c>
      <c r="B54" s="20" t="s">
        <v>26</v>
      </c>
      <c r="C54" s="20" t="s">
        <v>27</v>
      </c>
      <c r="D54" s="25">
        <v>1.6990291262135921</v>
      </c>
      <c r="E54" s="25">
        <f t="shared" si="3"/>
        <v>6.7307692307692308</v>
      </c>
      <c r="F54" s="25">
        <f t="shared" si="4"/>
        <v>0.93283582089552231</v>
      </c>
      <c r="G54" s="26">
        <v>7</v>
      </c>
      <c r="H54" s="26">
        <v>5</v>
      </c>
      <c r="I54" s="25">
        <f t="shared" si="5"/>
        <v>1.875</v>
      </c>
      <c r="J54" s="27">
        <v>12</v>
      </c>
    </row>
    <row r="55" spans="1:10" ht="18.75" customHeight="1" x14ac:dyDescent="0.25">
      <c r="A55" s="22" t="s">
        <v>105</v>
      </c>
      <c r="B55" s="20" t="s">
        <v>26</v>
      </c>
      <c r="C55" s="20" t="s">
        <v>27</v>
      </c>
      <c r="D55" s="25">
        <v>0.48543689320388345</v>
      </c>
      <c r="E55" s="25">
        <f t="shared" si="3"/>
        <v>1.9230769230769231</v>
      </c>
      <c r="F55" s="25">
        <f t="shared" si="4"/>
        <v>0</v>
      </c>
      <c r="G55" s="26">
        <v>2</v>
      </c>
      <c r="H55" s="26">
        <v>0</v>
      </c>
      <c r="I55" s="25">
        <f t="shared" si="5"/>
        <v>0.3125</v>
      </c>
      <c r="J55" s="27">
        <v>2</v>
      </c>
    </row>
    <row r="56" spans="1:10" ht="18.75" customHeight="1" x14ac:dyDescent="0.25">
      <c r="A56" s="22" t="s">
        <v>106</v>
      </c>
      <c r="B56" s="20" t="s">
        <v>26</v>
      </c>
      <c r="C56" s="20" t="s">
        <v>27</v>
      </c>
      <c r="D56" s="25">
        <v>0.24271844660194172</v>
      </c>
      <c r="E56" s="25">
        <f t="shared" si="3"/>
        <v>0.96153846153846156</v>
      </c>
      <c r="F56" s="25">
        <f t="shared" si="4"/>
        <v>0</v>
      </c>
      <c r="G56" s="26">
        <v>1</v>
      </c>
      <c r="H56" s="26">
        <v>0</v>
      </c>
      <c r="I56" s="25">
        <f t="shared" si="5"/>
        <v>0.15625</v>
      </c>
      <c r="J56" s="27">
        <v>1</v>
      </c>
    </row>
    <row r="57" spans="1:10" ht="18.75" customHeight="1" x14ac:dyDescent="0.25">
      <c r="A57" s="22" t="s">
        <v>107</v>
      </c>
      <c r="B57" s="20" t="s">
        <v>26</v>
      </c>
      <c r="C57" s="20" t="s">
        <v>27</v>
      </c>
      <c r="D57" s="25">
        <v>0.24271844660194172</v>
      </c>
      <c r="E57" s="25">
        <f t="shared" si="3"/>
        <v>0.96153846153846156</v>
      </c>
      <c r="F57" s="25">
        <f t="shared" si="4"/>
        <v>0</v>
      </c>
      <c r="G57" s="26">
        <v>1</v>
      </c>
      <c r="H57" s="26">
        <v>0</v>
      </c>
      <c r="I57" s="25">
        <f t="shared" si="5"/>
        <v>0.15625</v>
      </c>
      <c r="J57" s="27">
        <v>1</v>
      </c>
    </row>
    <row r="58" spans="1:10" ht="18.75" customHeight="1" x14ac:dyDescent="0.25">
      <c r="A58" s="22" t="s">
        <v>57</v>
      </c>
      <c r="B58" s="20" t="s">
        <v>54</v>
      </c>
      <c r="C58" s="20" t="s">
        <v>15</v>
      </c>
      <c r="D58" s="25">
        <v>1.9417475728155338</v>
      </c>
      <c r="E58" s="25">
        <f t="shared" si="3"/>
        <v>7.6923076923076925</v>
      </c>
      <c r="F58" s="25">
        <f t="shared" si="4"/>
        <v>0.93283582089552231</v>
      </c>
      <c r="G58" s="26">
        <v>8</v>
      </c>
      <c r="H58" s="26">
        <v>5</v>
      </c>
      <c r="I58" s="25">
        <f t="shared" si="5"/>
        <v>2.03125</v>
      </c>
      <c r="J58" s="27">
        <v>13</v>
      </c>
    </row>
    <row r="59" spans="1:10" ht="29.25" customHeight="1" x14ac:dyDescent="0.25">
      <c r="A59" s="22" t="s">
        <v>53</v>
      </c>
      <c r="B59" s="20" t="s">
        <v>54</v>
      </c>
      <c r="C59" s="20" t="s">
        <v>55</v>
      </c>
      <c r="D59" s="25">
        <v>4.1262135922330101</v>
      </c>
      <c r="E59" s="25">
        <f t="shared" si="3"/>
        <v>16.346153846153847</v>
      </c>
      <c r="F59" s="25">
        <f t="shared" si="4"/>
        <v>17.910447761194028</v>
      </c>
      <c r="G59" s="26">
        <v>17</v>
      </c>
      <c r="H59" s="26">
        <v>96</v>
      </c>
      <c r="I59" s="25">
        <f t="shared" si="5"/>
        <v>17.65625</v>
      </c>
      <c r="J59" s="27">
        <v>113</v>
      </c>
    </row>
    <row r="60" spans="1:10" ht="18.75" customHeight="1" x14ac:dyDescent="0.25">
      <c r="A60" s="22" t="s">
        <v>132</v>
      </c>
      <c r="B60" s="20" t="s">
        <v>54</v>
      </c>
      <c r="C60" s="20" t="s">
        <v>59</v>
      </c>
      <c r="D60" s="25"/>
      <c r="E60" s="25">
        <f t="shared" si="3"/>
        <v>0</v>
      </c>
      <c r="F60" s="25">
        <f t="shared" si="4"/>
        <v>0.18656716417910446</v>
      </c>
      <c r="G60" s="26">
        <v>0</v>
      </c>
      <c r="H60" s="26">
        <v>1</v>
      </c>
      <c r="I60" s="25">
        <f t="shared" si="5"/>
        <v>0.15625</v>
      </c>
      <c r="J60" s="27">
        <v>1</v>
      </c>
    </row>
    <row r="61" spans="1:10" ht="18.75" customHeight="1" x14ac:dyDescent="0.25">
      <c r="A61" s="22" t="s">
        <v>58</v>
      </c>
      <c r="B61" s="20" t="s">
        <v>54</v>
      </c>
      <c r="C61" s="20" t="s">
        <v>59</v>
      </c>
      <c r="D61" s="25">
        <v>0.24271844660194172</v>
      </c>
      <c r="E61" s="25">
        <f t="shared" si="3"/>
        <v>0.96153846153846156</v>
      </c>
      <c r="F61" s="25">
        <f t="shared" si="4"/>
        <v>0</v>
      </c>
      <c r="G61" s="26">
        <v>1</v>
      </c>
      <c r="H61" s="26">
        <v>0</v>
      </c>
      <c r="I61" s="25">
        <f t="shared" si="5"/>
        <v>0.15625</v>
      </c>
      <c r="J61" s="27">
        <v>1</v>
      </c>
    </row>
    <row r="62" spans="1:10" ht="31.5" customHeight="1" x14ac:dyDescent="0.25">
      <c r="A62" s="22" t="s">
        <v>56</v>
      </c>
      <c r="B62" s="20" t="s">
        <v>54</v>
      </c>
      <c r="C62" s="20" t="s">
        <v>55</v>
      </c>
      <c r="D62" s="25">
        <v>0.242718446601942</v>
      </c>
      <c r="E62" s="25">
        <f t="shared" si="3"/>
        <v>0.96153846153846156</v>
      </c>
      <c r="F62" s="25">
        <f t="shared" si="4"/>
        <v>0</v>
      </c>
      <c r="G62" s="28">
        <v>1</v>
      </c>
      <c r="H62" s="26">
        <v>0</v>
      </c>
      <c r="I62" s="25">
        <f t="shared" si="5"/>
        <v>0.15625</v>
      </c>
      <c r="J62" s="27">
        <v>1</v>
      </c>
    </row>
    <row r="63" spans="1:10" ht="18.75" customHeight="1" x14ac:dyDescent="0.25">
      <c r="A63" s="22" t="s">
        <v>60</v>
      </c>
      <c r="B63" s="20" t="s">
        <v>54</v>
      </c>
      <c r="C63" s="20" t="s">
        <v>15</v>
      </c>
      <c r="D63" s="25">
        <v>0.48543689320388345</v>
      </c>
      <c r="E63" s="25">
        <f t="shared" si="3"/>
        <v>1.9230769230769231</v>
      </c>
      <c r="F63" s="25">
        <f t="shared" si="4"/>
        <v>0.37313432835820892</v>
      </c>
      <c r="G63" s="26">
        <v>2</v>
      </c>
      <c r="H63" s="26">
        <v>2</v>
      </c>
      <c r="I63" s="25">
        <f t="shared" si="5"/>
        <v>0.625</v>
      </c>
      <c r="J63" s="27">
        <v>4</v>
      </c>
    </row>
    <row r="64" spans="1:10" ht="18.75" customHeight="1" x14ac:dyDescent="0.25">
      <c r="A64" s="22" t="s">
        <v>61</v>
      </c>
      <c r="B64" s="20" t="s">
        <v>54</v>
      </c>
      <c r="C64" s="20" t="s">
        <v>15</v>
      </c>
      <c r="D64" s="25">
        <v>0.24271844660194172</v>
      </c>
      <c r="E64" s="25">
        <f t="shared" si="3"/>
        <v>0.96153846153846156</v>
      </c>
      <c r="F64" s="25">
        <f t="shared" si="4"/>
        <v>0</v>
      </c>
      <c r="G64" s="26">
        <v>1</v>
      </c>
      <c r="H64" s="26">
        <v>0</v>
      </c>
      <c r="I64" s="25">
        <f t="shared" si="5"/>
        <v>0.15625</v>
      </c>
      <c r="J64" s="27">
        <v>1</v>
      </c>
    </row>
    <row r="65" spans="1:10" ht="18.75" customHeight="1" x14ac:dyDescent="0.25">
      <c r="A65" s="22" t="s">
        <v>136</v>
      </c>
      <c r="B65" s="20" t="s">
        <v>54</v>
      </c>
      <c r="C65" s="20" t="s">
        <v>15</v>
      </c>
      <c r="D65" s="25">
        <v>0.24271844660194172</v>
      </c>
      <c r="E65" s="25">
        <f t="shared" si="3"/>
        <v>0.96153846153846156</v>
      </c>
      <c r="F65" s="25">
        <f t="shared" si="4"/>
        <v>0</v>
      </c>
      <c r="G65" s="28">
        <v>1</v>
      </c>
      <c r="H65" s="26">
        <v>0</v>
      </c>
      <c r="I65" s="25">
        <f t="shared" si="5"/>
        <v>0.15625</v>
      </c>
      <c r="J65" s="27">
        <v>1</v>
      </c>
    </row>
    <row r="66" spans="1:10" ht="18.75" customHeight="1" x14ac:dyDescent="0.25">
      <c r="A66" s="22" t="s">
        <v>118</v>
      </c>
      <c r="B66" s="20" t="s">
        <v>54</v>
      </c>
      <c r="C66" s="20" t="s">
        <v>59</v>
      </c>
      <c r="D66" s="25"/>
      <c r="E66" s="25">
        <f t="shared" si="3"/>
        <v>0</v>
      </c>
      <c r="F66" s="25">
        <f t="shared" si="4"/>
        <v>0.18656716417910446</v>
      </c>
      <c r="G66" s="26">
        <v>0</v>
      </c>
      <c r="H66" s="26">
        <v>1</v>
      </c>
      <c r="I66" s="25">
        <f t="shared" ref="I66:I67" si="6">J66/640*100</f>
        <v>0.15625</v>
      </c>
      <c r="J66" s="27">
        <v>1</v>
      </c>
    </row>
    <row r="67" spans="1:10" ht="18.75" customHeight="1" x14ac:dyDescent="0.25">
      <c r="A67" s="22" t="s">
        <v>137</v>
      </c>
      <c r="B67" s="20" t="s">
        <v>54</v>
      </c>
      <c r="C67" s="20" t="s">
        <v>15</v>
      </c>
      <c r="D67" s="25">
        <v>5.5825242718446608</v>
      </c>
      <c r="E67" s="25">
        <f t="shared" si="3"/>
        <v>24.03846153846154</v>
      </c>
      <c r="F67" s="25">
        <f t="shared" si="4"/>
        <v>18.843283582089551</v>
      </c>
      <c r="G67" s="26">
        <v>25</v>
      </c>
      <c r="H67" s="26">
        <v>101</v>
      </c>
      <c r="I67" s="25">
        <f t="shared" si="6"/>
        <v>19.6875</v>
      </c>
      <c r="J67" s="27">
        <v>126</v>
      </c>
    </row>
    <row r="68" spans="1:10" ht="47.25" x14ac:dyDescent="0.25">
      <c r="A68" s="23" t="s">
        <v>146</v>
      </c>
    </row>
  </sheetData>
  <autoFilter ref="A2:J67"/>
  <sortState ref="A3:J69">
    <sortCondition ref="B3:B69"/>
    <sortCondition ref="A3:A69"/>
  </sortState>
  <mergeCells count="1">
    <mergeCell ref="A1:I1"/>
  </mergeCells>
  <pageMargins left="0.25" right="0.25" top="0.75" bottom="0.75" header="0.3" footer="0.3"/>
  <pageSetup orientation="portrait" r:id="rId1"/>
  <rowBreaks count="1" manualBreakCount="1">
    <brk id="39" max="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72"/>
  <sheetViews>
    <sheetView view="pageBreakPreview" zoomScaleNormal="100" zoomScaleSheetLayoutView="100" workbookViewId="0">
      <selection activeCell="G3" sqref="G3"/>
    </sheetView>
  </sheetViews>
  <sheetFormatPr defaultRowHeight="15" x14ac:dyDescent="0.25"/>
  <cols>
    <col min="1" max="1" width="18" bestFit="1" customWidth="1"/>
    <col min="2" max="2" width="24" bestFit="1" customWidth="1"/>
    <col min="3" max="3" width="35.85546875" bestFit="1" customWidth="1"/>
    <col min="4" max="4" width="24.7109375" hidden="1" customWidth="1"/>
    <col min="5" max="5" width="15.85546875" style="8" bestFit="1" customWidth="1"/>
    <col min="6" max="6" width="8.5703125" bestFit="1" customWidth="1"/>
  </cols>
  <sheetData>
    <row r="2" spans="1:6" ht="30" x14ac:dyDescent="0.25">
      <c r="A2" s="3" t="s">
        <v>30</v>
      </c>
      <c r="B2" s="3" t="s">
        <v>0</v>
      </c>
      <c r="C2" s="3" t="s">
        <v>1</v>
      </c>
      <c r="D2" s="9" t="s">
        <v>128</v>
      </c>
      <c r="E2" s="17" t="s">
        <v>127</v>
      </c>
      <c r="F2" s="3" t="s">
        <v>31</v>
      </c>
    </row>
    <row r="3" spans="1:6" ht="18.75" customHeight="1" x14ac:dyDescent="0.25">
      <c r="A3" s="10" t="s">
        <v>32</v>
      </c>
      <c r="B3" s="3" t="s">
        <v>6</v>
      </c>
      <c r="C3" s="3" t="s">
        <v>7</v>
      </c>
      <c r="D3" s="9">
        <v>0.1941747572815534</v>
      </c>
      <c r="E3" s="9">
        <v>0.70175438596491224</v>
      </c>
      <c r="F3" s="3">
        <v>2</v>
      </c>
    </row>
    <row r="4" spans="1:6" ht="18.75" customHeight="1" x14ac:dyDescent="0.25">
      <c r="A4" s="10" t="s">
        <v>33</v>
      </c>
      <c r="B4" s="3" t="s">
        <v>6</v>
      </c>
      <c r="C4" s="3" t="s">
        <v>7</v>
      </c>
      <c r="D4" s="9">
        <v>1.5533980582524272</v>
      </c>
      <c r="E4" s="9">
        <v>5.6140350877192979</v>
      </c>
      <c r="F4" s="3">
        <v>16</v>
      </c>
    </row>
    <row r="5" spans="1:6" ht="18.75" customHeight="1" x14ac:dyDescent="0.25">
      <c r="A5" s="10" t="s">
        <v>34</v>
      </c>
      <c r="B5" s="3" t="s">
        <v>6</v>
      </c>
      <c r="C5" s="3" t="s">
        <v>7</v>
      </c>
      <c r="D5" s="9">
        <v>0.48543689320388345</v>
      </c>
      <c r="E5" s="9">
        <v>1.7543859649122806</v>
      </c>
      <c r="F5" s="3">
        <v>5</v>
      </c>
    </row>
    <row r="6" spans="1:6" ht="18.75" customHeight="1" x14ac:dyDescent="0.25">
      <c r="A6" s="10" t="s">
        <v>35</v>
      </c>
      <c r="B6" s="3" t="s">
        <v>6</v>
      </c>
      <c r="C6" s="3" t="s">
        <v>7</v>
      </c>
      <c r="D6" s="9">
        <v>3.6893203883495143</v>
      </c>
      <c r="E6" s="9">
        <v>13.333333333333334</v>
      </c>
      <c r="F6" s="3">
        <f>12+26</f>
        <v>38</v>
      </c>
    </row>
    <row r="7" spans="1:6" ht="18.75" customHeight="1" x14ac:dyDescent="0.25">
      <c r="A7" s="10" t="s">
        <v>36</v>
      </c>
      <c r="B7" s="3" t="s">
        <v>6</v>
      </c>
      <c r="C7" s="3" t="s">
        <v>37</v>
      </c>
      <c r="D7" s="9">
        <v>0.29126213592233008</v>
      </c>
      <c r="E7" s="9">
        <v>1.0526315789473684</v>
      </c>
      <c r="F7" s="3">
        <v>3</v>
      </c>
    </row>
    <row r="8" spans="1:6" ht="18.75" customHeight="1" x14ac:dyDescent="0.25">
      <c r="A8" s="10" t="s">
        <v>38</v>
      </c>
      <c r="B8" s="3" t="s">
        <v>6</v>
      </c>
      <c r="C8" s="3" t="s">
        <v>8</v>
      </c>
      <c r="D8" s="9">
        <v>3.6893203883495143</v>
      </c>
      <c r="E8" s="9">
        <v>13.333333333333334</v>
      </c>
      <c r="F8" s="3">
        <f>15+23</f>
        <v>38</v>
      </c>
    </row>
    <row r="9" spans="1:6" ht="18.75" customHeight="1" x14ac:dyDescent="0.25">
      <c r="A9" s="10" t="s">
        <v>39</v>
      </c>
      <c r="B9" s="3" t="s">
        <v>6</v>
      </c>
      <c r="C9" s="3" t="s">
        <v>8</v>
      </c>
      <c r="D9" s="9">
        <v>0.38834951456310679</v>
      </c>
      <c r="E9" s="9">
        <v>1.4035087719298245</v>
      </c>
      <c r="F9" s="3">
        <v>4</v>
      </c>
    </row>
    <row r="10" spans="1:6" ht="18.75" customHeight="1" x14ac:dyDescent="0.25">
      <c r="A10" s="10" t="s">
        <v>40</v>
      </c>
      <c r="B10" s="3" t="s">
        <v>6</v>
      </c>
      <c r="C10" s="3" t="s">
        <v>41</v>
      </c>
      <c r="D10" s="9">
        <v>0.48543689320388345</v>
      </c>
      <c r="E10" s="9">
        <v>1.7543859649122806</v>
      </c>
      <c r="F10" s="3">
        <v>5</v>
      </c>
    </row>
    <row r="11" spans="1:6" ht="18.75" customHeight="1" x14ac:dyDescent="0.25">
      <c r="A11" s="10" t="s">
        <v>121</v>
      </c>
      <c r="B11" s="3" t="s">
        <v>6</v>
      </c>
      <c r="C11" s="3" t="s">
        <v>9</v>
      </c>
      <c r="D11" s="9">
        <v>0.1941747572815534</v>
      </c>
      <c r="E11" s="9">
        <v>0.70175438596491224</v>
      </c>
      <c r="F11" s="3">
        <v>2</v>
      </c>
    </row>
    <row r="12" spans="1:6" ht="18.75" customHeight="1" x14ac:dyDescent="0.25">
      <c r="A12" s="10" t="s">
        <v>42</v>
      </c>
      <c r="B12" s="3" t="s">
        <v>6</v>
      </c>
      <c r="C12" s="3" t="s">
        <v>9</v>
      </c>
      <c r="D12" s="9">
        <v>6.116504854368932</v>
      </c>
      <c r="E12" s="9">
        <v>22.105263157894736</v>
      </c>
      <c r="F12" s="3">
        <f>19+44</f>
        <v>63</v>
      </c>
    </row>
    <row r="13" spans="1:6" ht="18.75" customHeight="1" x14ac:dyDescent="0.25">
      <c r="A13" s="10" t="s">
        <v>43</v>
      </c>
      <c r="B13" s="3" t="s">
        <v>6</v>
      </c>
      <c r="C13" s="3" t="s">
        <v>9</v>
      </c>
      <c r="D13" s="9">
        <v>0.29126213592233008</v>
      </c>
      <c r="E13" s="9">
        <v>1.0526315789473684</v>
      </c>
      <c r="F13" s="3">
        <v>3</v>
      </c>
    </row>
    <row r="14" spans="1:6" ht="18.75" customHeight="1" x14ac:dyDescent="0.25">
      <c r="A14" s="10" t="s">
        <v>44</v>
      </c>
      <c r="B14" s="3" t="s">
        <v>6</v>
      </c>
      <c r="C14" s="3" t="s">
        <v>9</v>
      </c>
      <c r="D14" s="9">
        <v>0.29126213592233008</v>
      </c>
      <c r="E14" s="9">
        <v>1.0526315789473684</v>
      </c>
      <c r="F14" s="3">
        <v>3</v>
      </c>
    </row>
    <row r="15" spans="1:6" ht="18.75" customHeight="1" x14ac:dyDescent="0.25">
      <c r="A15" s="10" t="s">
        <v>112</v>
      </c>
      <c r="B15" s="3" t="s">
        <v>6</v>
      </c>
      <c r="C15" s="3" t="s">
        <v>9</v>
      </c>
      <c r="D15" s="9">
        <v>9.7087378640776698E-2</v>
      </c>
      <c r="E15" s="9">
        <v>0.35087719298245612</v>
      </c>
      <c r="F15" s="3">
        <v>1</v>
      </c>
    </row>
    <row r="16" spans="1:6" ht="18.75" customHeight="1" x14ac:dyDescent="0.25">
      <c r="A16" s="10" t="s">
        <v>45</v>
      </c>
      <c r="B16" s="3" t="s">
        <v>6</v>
      </c>
      <c r="C16" s="3" t="s">
        <v>9</v>
      </c>
      <c r="D16" s="9">
        <v>1.8446601941747571</v>
      </c>
      <c r="E16" s="9">
        <v>6.666666666666667</v>
      </c>
      <c r="F16" s="3">
        <f>13+6</f>
        <v>19</v>
      </c>
    </row>
    <row r="17" spans="1:6" ht="18.75" customHeight="1" x14ac:dyDescent="0.25">
      <c r="A17" s="10" t="s">
        <v>46</v>
      </c>
      <c r="B17" s="3" t="s">
        <v>6</v>
      </c>
      <c r="C17" s="3" t="s">
        <v>9</v>
      </c>
      <c r="D17" s="9">
        <v>9.7087378640776698E-2</v>
      </c>
      <c r="E17" s="9">
        <v>0.35087719298245612</v>
      </c>
      <c r="F17" s="3">
        <v>1</v>
      </c>
    </row>
    <row r="18" spans="1:6" ht="18.75" customHeight="1" x14ac:dyDescent="0.25">
      <c r="A18" s="10" t="s">
        <v>47</v>
      </c>
      <c r="B18" s="3" t="s">
        <v>6</v>
      </c>
      <c r="C18" s="3" t="s">
        <v>9</v>
      </c>
      <c r="D18" s="9">
        <v>9.7087378640776698E-2</v>
      </c>
      <c r="E18" s="9">
        <v>0.35087719298245612</v>
      </c>
      <c r="F18" s="3">
        <v>1</v>
      </c>
    </row>
    <row r="19" spans="1:6" ht="18.75" customHeight="1" x14ac:dyDescent="0.25">
      <c r="A19" s="10" t="s">
        <v>48</v>
      </c>
      <c r="B19" s="3" t="s">
        <v>6</v>
      </c>
      <c r="C19" s="3" t="s">
        <v>9</v>
      </c>
      <c r="D19" s="9">
        <v>9.7087378640776698E-2</v>
      </c>
      <c r="E19" s="9">
        <v>0.35087719298245612</v>
      </c>
      <c r="F19" s="3">
        <v>1</v>
      </c>
    </row>
    <row r="20" spans="1:6" ht="18.75" customHeight="1" x14ac:dyDescent="0.25">
      <c r="A20" s="10" t="s">
        <v>49</v>
      </c>
      <c r="B20" s="3" t="s">
        <v>6</v>
      </c>
      <c r="C20" s="3" t="s">
        <v>9</v>
      </c>
      <c r="D20" s="9">
        <v>0.38834951456310679</v>
      </c>
      <c r="E20" s="9">
        <v>1.4035087719298245</v>
      </c>
      <c r="F20" s="3">
        <v>4</v>
      </c>
    </row>
    <row r="21" spans="1:6" ht="18.75" customHeight="1" x14ac:dyDescent="0.25">
      <c r="A21" s="10" t="s">
        <v>50</v>
      </c>
      <c r="B21" s="3" t="s">
        <v>6</v>
      </c>
      <c r="C21" s="3" t="s">
        <v>9</v>
      </c>
      <c r="D21" s="9">
        <v>8.1553398058252426</v>
      </c>
      <c r="E21" s="9">
        <v>29.473684210526311</v>
      </c>
      <c r="F21" s="3">
        <f>29+55</f>
        <v>84</v>
      </c>
    </row>
    <row r="22" spans="1:6" ht="18.75" customHeight="1" x14ac:dyDescent="0.25">
      <c r="A22" s="10" t="s">
        <v>51</v>
      </c>
      <c r="B22" s="3" t="s">
        <v>6</v>
      </c>
      <c r="C22" s="3" t="s">
        <v>9</v>
      </c>
      <c r="D22" s="9">
        <v>0.38834951456310679</v>
      </c>
      <c r="E22" s="9">
        <v>1.4035087719298245</v>
      </c>
      <c r="F22" s="3">
        <v>4</v>
      </c>
    </row>
    <row r="23" spans="1:6" ht="18.75" customHeight="1" x14ac:dyDescent="0.25">
      <c r="A23" s="10" t="s">
        <v>52</v>
      </c>
      <c r="B23" s="3" t="s">
        <v>6</v>
      </c>
      <c r="C23" s="3" t="s">
        <v>9</v>
      </c>
      <c r="D23" s="9">
        <v>8.1553398058252426</v>
      </c>
      <c r="E23" s="9">
        <v>29.473684210526311</v>
      </c>
      <c r="F23" s="3">
        <f>29+55</f>
        <v>84</v>
      </c>
    </row>
    <row r="24" spans="1:6" ht="30" customHeight="1" x14ac:dyDescent="0.25">
      <c r="A24" s="10" t="s">
        <v>53</v>
      </c>
      <c r="B24" s="11" t="s">
        <v>54</v>
      </c>
      <c r="C24" s="12" t="s">
        <v>122</v>
      </c>
      <c r="D24" s="9">
        <v>5.5339805825242721</v>
      </c>
      <c r="E24" s="9">
        <v>20</v>
      </c>
      <c r="F24" s="3">
        <f>17+40</f>
        <v>57</v>
      </c>
    </row>
    <row r="25" spans="1:6" ht="28.5" customHeight="1" x14ac:dyDescent="0.25">
      <c r="A25" s="10" t="s">
        <v>116</v>
      </c>
      <c r="B25" s="11" t="s">
        <v>54</v>
      </c>
      <c r="C25" s="12" t="s">
        <v>122</v>
      </c>
      <c r="D25" s="9">
        <v>0.29126213592233008</v>
      </c>
      <c r="E25" s="9">
        <v>1.0526315789473684</v>
      </c>
      <c r="F25" s="3">
        <v>3</v>
      </c>
    </row>
    <row r="26" spans="1:6" ht="18.75" customHeight="1" x14ac:dyDescent="0.25">
      <c r="A26" s="10" t="s">
        <v>56</v>
      </c>
      <c r="B26" s="11" t="s">
        <v>54</v>
      </c>
      <c r="C26" s="3" t="s">
        <v>123</v>
      </c>
      <c r="D26" s="9">
        <v>9.7087378640776698E-2</v>
      </c>
      <c r="E26" s="9">
        <v>0.35087719298245612</v>
      </c>
      <c r="F26" s="3">
        <v>1</v>
      </c>
    </row>
    <row r="27" spans="1:6" ht="18.75" customHeight="1" x14ac:dyDescent="0.25">
      <c r="A27" s="10" t="s">
        <v>57</v>
      </c>
      <c r="B27" s="11" t="s">
        <v>54</v>
      </c>
      <c r="C27" s="3" t="s">
        <v>15</v>
      </c>
      <c r="D27" s="9">
        <v>0.87378640776699035</v>
      </c>
      <c r="E27" s="9">
        <v>3.1578947368421053</v>
      </c>
      <c r="F27" s="3">
        <v>9</v>
      </c>
    </row>
    <row r="28" spans="1:6" ht="18.75" customHeight="1" x14ac:dyDescent="0.25">
      <c r="A28" s="10" t="s">
        <v>60</v>
      </c>
      <c r="B28" s="11" t="s">
        <v>54</v>
      </c>
      <c r="C28" s="3" t="s">
        <v>15</v>
      </c>
      <c r="D28" s="9">
        <v>0.38834951456310679</v>
      </c>
      <c r="E28" s="9">
        <v>1.4035087719298245</v>
      </c>
      <c r="F28" s="3">
        <v>4</v>
      </c>
    </row>
    <row r="29" spans="1:6" ht="18.75" customHeight="1" x14ac:dyDescent="0.25">
      <c r="A29" s="10" t="s">
        <v>61</v>
      </c>
      <c r="B29" s="11" t="s">
        <v>54</v>
      </c>
      <c r="C29" s="3" t="s">
        <v>15</v>
      </c>
      <c r="D29" s="9">
        <v>9.7087378640776698E-2</v>
      </c>
      <c r="E29" s="9">
        <v>0.35087719298245612</v>
      </c>
      <c r="F29" s="3">
        <v>1</v>
      </c>
    </row>
    <row r="30" spans="1:6" ht="18.75" customHeight="1" x14ac:dyDescent="0.25">
      <c r="A30" s="10" t="s">
        <v>62</v>
      </c>
      <c r="B30" s="11" t="s">
        <v>54</v>
      </c>
      <c r="C30" s="3" t="s">
        <v>15</v>
      </c>
      <c r="D30" s="9">
        <v>9.7087378640776698E-2</v>
      </c>
      <c r="E30" s="9">
        <v>0.35087719298245612</v>
      </c>
      <c r="F30" s="3">
        <v>1</v>
      </c>
    </row>
    <row r="31" spans="1:6" ht="18.75" customHeight="1" x14ac:dyDescent="0.25">
      <c r="A31" s="10" t="s">
        <v>63</v>
      </c>
      <c r="B31" s="11" t="s">
        <v>54</v>
      </c>
      <c r="C31" s="3" t="s">
        <v>15</v>
      </c>
      <c r="D31" s="9">
        <v>9.7087378640776698E-2</v>
      </c>
      <c r="E31" s="9">
        <v>0.35087719298245612</v>
      </c>
      <c r="F31" s="3">
        <v>1</v>
      </c>
    </row>
    <row r="32" spans="1:6" ht="18.75" customHeight="1" x14ac:dyDescent="0.25">
      <c r="A32" s="10" t="s">
        <v>64</v>
      </c>
      <c r="B32" s="11" t="s">
        <v>54</v>
      </c>
      <c r="C32" s="3" t="s">
        <v>15</v>
      </c>
      <c r="D32" s="9">
        <v>9.7087378640776698E-2</v>
      </c>
      <c r="E32" s="9">
        <v>0.35087719298245612</v>
      </c>
      <c r="F32" s="3">
        <v>1</v>
      </c>
    </row>
    <row r="33" spans="1:6" ht="18.75" customHeight="1" x14ac:dyDescent="0.25">
      <c r="A33" s="10" t="s">
        <v>117</v>
      </c>
      <c r="B33" s="11" t="s">
        <v>54</v>
      </c>
      <c r="C33" s="3" t="s">
        <v>15</v>
      </c>
      <c r="D33" s="9">
        <v>9.7087378640776698E-2</v>
      </c>
      <c r="E33" s="9">
        <v>0.35087719298245612</v>
      </c>
      <c r="F33" s="3">
        <v>1</v>
      </c>
    </row>
    <row r="34" spans="1:6" ht="18.75" customHeight="1" x14ac:dyDescent="0.25">
      <c r="A34" s="10" t="s">
        <v>65</v>
      </c>
      <c r="B34" s="11" t="s">
        <v>54</v>
      </c>
      <c r="C34" s="3" t="s">
        <v>15</v>
      </c>
      <c r="D34" s="9">
        <v>6.6019417475728162</v>
      </c>
      <c r="E34" s="9">
        <v>23.859649122807017</v>
      </c>
      <c r="F34" s="3">
        <f>23+45</f>
        <v>68</v>
      </c>
    </row>
    <row r="35" spans="1:6" ht="18.75" customHeight="1" x14ac:dyDescent="0.25">
      <c r="A35" s="10" t="s">
        <v>58</v>
      </c>
      <c r="B35" s="11" t="s">
        <v>54</v>
      </c>
      <c r="C35" s="3" t="s">
        <v>124</v>
      </c>
      <c r="D35" s="9">
        <v>9.7087378640776698E-2</v>
      </c>
      <c r="E35" s="9">
        <v>0.35087719298245612</v>
      </c>
      <c r="F35" s="3">
        <v>1</v>
      </c>
    </row>
    <row r="36" spans="1:6" ht="18.75" customHeight="1" x14ac:dyDescent="0.25">
      <c r="A36" s="10" t="s">
        <v>118</v>
      </c>
      <c r="B36" s="11" t="s">
        <v>54</v>
      </c>
      <c r="C36" s="3" t="s">
        <v>124</v>
      </c>
      <c r="D36" s="9">
        <v>9.7087378640776698E-2</v>
      </c>
      <c r="E36" s="9">
        <v>0.35087719298245612</v>
      </c>
      <c r="F36" s="3">
        <v>1</v>
      </c>
    </row>
    <row r="37" spans="1:6" ht="18.75" customHeight="1" x14ac:dyDescent="0.25">
      <c r="A37" s="10" t="s">
        <v>66</v>
      </c>
      <c r="B37" s="3"/>
      <c r="C37" s="3" t="s">
        <v>119</v>
      </c>
      <c r="D37" s="9">
        <v>0.38834951456310679</v>
      </c>
      <c r="E37" s="9">
        <v>1.4035087719298245</v>
      </c>
      <c r="F37" s="3">
        <v>4</v>
      </c>
    </row>
    <row r="38" spans="1:6" ht="18.75" customHeight="1" x14ac:dyDescent="0.25">
      <c r="A38" s="10" t="s">
        <v>68</v>
      </c>
      <c r="B38" s="3"/>
      <c r="C38" s="3" t="s">
        <v>119</v>
      </c>
      <c r="D38" s="9">
        <v>0.1941747572815534</v>
      </c>
      <c r="E38" s="9">
        <v>0.70175438596491224</v>
      </c>
      <c r="F38" s="3">
        <v>2</v>
      </c>
    </row>
    <row r="39" spans="1:6" ht="18.75" customHeight="1" x14ac:dyDescent="0.25">
      <c r="A39" s="10" t="s">
        <v>69</v>
      </c>
      <c r="B39" s="3" t="s">
        <v>16</v>
      </c>
      <c r="C39" s="3" t="s">
        <v>17</v>
      </c>
      <c r="D39" s="9">
        <v>6.5048543689320395</v>
      </c>
      <c r="E39" s="9">
        <v>23.508771929824562</v>
      </c>
      <c r="F39" s="3">
        <f>36+31</f>
        <v>67</v>
      </c>
    </row>
    <row r="40" spans="1:6" ht="18.75" customHeight="1" x14ac:dyDescent="0.25">
      <c r="A40" s="10" t="s">
        <v>70</v>
      </c>
      <c r="B40" s="3" t="s">
        <v>16</v>
      </c>
      <c r="C40" s="3" t="s">
        <v>17</v>
      </c>
      <c r="D40" s="9">
        <v>7.0873786407766994</v>
      </c>
      <c r="E40" s="9">
        <v>25.614035087719301</v>
      </c>
      <c r="F40" s="3">
        <f>27+46</f>
        <v>73</v>
      </c>
    </row>
    <row r="41" spans="1:6" ht="18.75" customHeight="1" x14ac:dyDescent="0.25">
      <c r="A41" s="10" t="s">
        <v>71</v>
      </c>
      <c r="B41" s="3" t="s">
        <v>16</v>
      </c>
      <c r="C41" s="3" t="s">
        <v>17</v>
      </c>
      <c r="D41" s="9">
        <v>0.48543689320388345</v>
      </c>
      <c r="E41" s="9">
        <v>1.7543859649122806</v>
      </c>
      <c r="F41" s="3">
        <v>5</v>
      </c>
    </row>
    <row r="42" spans="1:6" ht="18.75" customHeight="1" x14ac:dyDescent="0.25">
      <c r="A42" s="10" t="s">
        <v>72</v>
      </c>
      <c r="B42" s="3" t="s">
        <v>16</v>
      </c>
      <c r="C42" s="3" t="s">
        <v>18</v>
      </c>
      <c r="D42" s="9">
        <v>9.7087378640776698E-2</v>
      </c>
      <c r="E42" s="9">
        <v>0.35087719298245612</v>
      </c>
      <c r="F42" s="3">
        <v>1</v>
      </c>
    </row>
    <row r="43" spans="1:6" ht="18.75" customHeight="1" x14ac:dyDescent="0.25">
      <c r="A43" s="10" t="s">
        <v>74</v>
      </c>
      <c r="B43" s="3" t="s">
        <v>16</v>
      </c>
      <c r="C43" s="3" t="s">
        <v>18</v>
      </c>
      <c r="D43" s="9">
        <v>9.7087378640776698E-2</v>
      </c>
      <c r="E43" s="9">
        <v>0.35087719298245612</v>
      </c>
      <c r="F43" s="3">
        <v>1</v>
      </c>
    </row>
    <row r="44" spans="1:6" ht="18.75" customHeight="1" x14ac:dyDescent="0.25">
      <c r="A44" s="10" t="s">
        <v>75</v>
      </c>
      <c r="B44" s="3" t="s">
        <v>16</v>
      </c>
      <c r="C44" s="3" t="s">
        <v>18</v>
      </c>
      <c r="D44" s="9">
        <v>0.38834951456310679</v>
      </c>
      <c r="E44" s="9">
        <v>1.4035087719298245</v>
      </c>
      <c r="F44" s="3">
        <v>4</v>
      </c>
    </row>
    <row r="45" spans="1:6" ht="18.75" customHeight="1" x14ac:dyDescent="0.25">
      <c r="A45" s="10" t="s">
        <v>76</v>
      </c>
      <c r="B45" s="3" t="s">
        <v>16</v>
      </c>
      <c r="C45" s="3" t="s">
        <v>18</v>
      </c>
      <c r="D45" s="9">
        <v>0.38834951456310679</v>
      </c>
      <c r="E45" s="9">
        <v>1.4035087719298245</v>
      </c>
      <c r="F45" s="3">
        <v>4</v>
      </c>
    </row>
    <row r="46" spans="1:6" ht="18.75" customHeight="1" x14ac:dyDescent="0.25">
      <c r="A46" s="10" t="s">
        <v>77</v>
      </c>
      <c r="B46" s="3" t="s">
        <v>16</v>
      </c>
      <c r="C46" s="3" t="s">
        <v>18</v>
      </c>
      <c r="D46" s="9">
        <v>0.29126213592233008</v>
      </c>
      <c r="E46" s="9">
        <v>1.0526315789473684</v>
      </c>
      <c r="F46" s="3">
        <v>3</v>
      </c>
    </row>
    <row r="47" spans="1:6" ht="18.75" customHeight="1" x14ac:dyDescent="0.25">
      <c r="A47" s="10" t="s">
        <v>125</v>
      </c>
      <c r="B47" s="3" t="s">
        <v>16</v>
      </c>
      <c r="C47" s="3" t="s">
        <v>18</v>
      </c>
      <c r="D47" s="9">
        <v>0.1941747572815534</v>
      </c>
      <c r="E47" s="9">
        <v>0.70175438596491224</v>
      </c>
      <c r="F47" s="3">
        <v>2</v>
      </c>
    </row>
    <row r="48" spans="1:6" ht="18.75" customHeight="1" x14ac:dyDescent="0.25">
      <c r="A48" s="10" t="s">
        <v>78</v>
      </c>
      <c r="B48" s="3" t="s">
        <v>16</v>
      </c>
      <c r="C48" s="3" t="s">
        <v>18</v>
      </c>
      <c r="D48" s="9">
        <v>9.7087378640776698E-2</v>
      </c>
      <c r="E48" s="9">
        <v>0.35087719298245612</v>
      </c>
      <c r="F48" s="3">
        <v>1</v>
      </c>
    </row>
    <row r="49" spans="1:6" ht="18.75" customHeight="1" x14ac:dyDescent="0.25">
      <c r="A49" s="10" t="s">
        <v>79</v>
      </c>
      <c r="B49" s="3" t="s">
        <v>16</v>
      </c>
      <c r="C49" s="3" t="s">
        <v>18</v>
      </c>
      <c r="D49" s="9">
        <v>0.29126213592233008</v>
      </c>
      <c r="E49" s="9">
        <v>1.0526315789473684</v>
      </c>
      <c r="F49" s="3">
        <v>3</v>
      </c>
    </row>
    <row r="50" spans="1:6" ht="18.75" customHeight="1" x14ac:dyDescent="0.25">
      <c r="A50" s="10" t="s">
        <v>84</v>
      </c>
      <c r="B50" s="3" t="s">
        <v>19</v>
      </c>
      <c r="C50" s="3" t="s">
        <v>20</v>
      </c>
      <c r="D50" s="9">
        <v>9.7087378640776698E-2</v>
      </c>
      <c r="E50" s="9">
        <v>0.35087719298245612</v>
      </c>
      <c r="F50" s="3">
        <v>1</v>
      </c>
    </row>
    <row r="51" spans="1:6" ht="18.75" customHeight="1" x14ac:dyDescent="0.25">
      <c r="A51" s="10" t="s">
        <v>80</v>
      </c>
      <c r="B51" s="3" t="s">
        <v>19</v>
      </c>
      <c r="C51" s="3" t="s">
        <v>81</v>
      </c>
      <c r="D51" s="9">
        <v>9.7087378640776698E-2</v>
      </c>
      <c r="E51" s="9">
        <v>0.35087719298245612</v>
      </c>
      <c r="F51" s="3">
        <v>1</v>
      </c>
    </row>
    <row r="52" spans="1:6" ht="18.75" customHeight="1" x14ac:dyDescent="0.25">
      <c r="A52" s="10" t="s">
        <v>82</v>
      </c>
      <c r="B52" s="3" t="s">
        <v>19</v>
      </c>
      <c r="C52" s="3" t="s">
        <v>81</v>
      </c>
      <c r="D52" s="9">
        <v>9.7087378640776698E-2</v>
      </c>
      <c r="E52" s="9">
        <v>0.35087719298245612</v>
      </c>
      <c r="F52" s="3">
        <v>1</v>
      </c>
    </row>
    <row r="53" spans="1:6" ht="18.75" customHeight="1" x14ac:dyDescent="0.25">
      <c r="A53" s="10" t="s">
        <v>83</v>
      </c>
      <c r="B53" s="3" t="s">
        <v>19</v>
      </c>
      <c r="C53" s="3" t="s">
        <v>81</v>
      </c>
      <c r="D53" s="9">
        <v>9.7087378640776698E-2</v>
      </c>
      <c r="E53" s="9">
        <v>0.35087719298245612</v>
      </c>
      <c r="F53" s="3">
        <v>1</v>
      </c>
    </row>
    <row r="54" spans="1:6" ht="18.75" customHeight="1" x14ac:dyDescent="0.25">
      <c r="A54" s="10" t="s">
        <v>85</v>
      </c>
      <c r="B54" s="3" t="s">
        <v>21</v>
      </c>
      <c r="C54" s="3" t="s">
        <v>22</v>
      </c>
      <c r="D54" s="9">
        <v>0.1941747572815534</v>
      </c>
      <c r="E54" s="9">
        <v>0.70175438596491224</v>
      </c>
      <c r="F54" s="3">
        <v>2</v>
      </c>
    </row>
    <row r="55" spans="1:6" ht="18.75" customHeight="1" x14ac:dyDescent="0.25">
      <c r="A55" s="10" t="s">
        <v>86</v>
      </c>
      <c r="B55" s="3" t="s">
        <v>21</v>
      </c>
      <c r="C55" s="3" t="s">
        <v>22</v>
      </c>
      <c r="D55" s="9">
        <v>0.38834951456310679</v>
      </c>
      <c r="E55" s="9">
        <v>1.4035087719298245</v>
      </c>
      <c r="F55" s="3">
        <v>4</v>
      </c>
    </row>
    <row r="56" spans="1:6" ht="18.75" customHeight="1" x14ac:dyDescent="0.25">
      <c r="A56" s="10" t="s">
        <v>87</v>
      </c>
      <c r="B56" s="3" t="s">
        <v>21</v>
      </c>
      <c r="C56" s="3" t="s">
        <v>22</v>
      </c>
      <c r="D56" s="9">
        <v>9.7087378640776698E-2</v>
      </c>
      <c r="E56" s="9">
        <v>0.35087719298245612</v>
      </c>
      <c r="F56" s="3">
        <v>1</v>
      </c>
    </row>
    <row r="57" spans="1:6" ht="18.75" customHeight="1" x14ac:dyDescent="0.25">
      <c r="A57" s="10" t="s">
        <v>88</v>
      </c>
      <c r="B57" s="3" t="s">
        <v>21</v>
      </c>
      <c r="C57" s="3" t="s">
        <v>22</v>
      </c>
      <c r="D57" s="9">
        <v>2.621359223300971</v>
      </c>
      <c r="E57" s="9">
        <v>9.4736842105263168</v>
      </c>
      <c r="F57" s="3">
        <v>27</v>
      </c>
    </row>
    <row r="58" spans="1:6" ht="18.75" customHeight="1" x14ac:dyDescent="0.25">
      <c r="A58" s="10" t="s">
        <v>89</v>
      </c>
      <c r="B58" s="3" t="s">
        <v>90</v>
      </c>
      <c r="C58" s="3" t="s">
        <v>91</v>
      </c>
      <c r="D58" s="9">
        <v>9.7087378640776698E-2</v>
      </c>
      <c r="E58" s="9">
        <v>0.35087719298245612</v>
      </c>
      <c r="F58" s="3">
        <v>1</v>
      </c>
    </row>
    <row r="59" spans="1:6" ht="18.75" customHeight="1" x14ac:dyDescent="0.25">
      <c r="A59" s="10" t="s">
        <v>92</v>
      </c>
      <c r="B59" s="3" t="s">
        <v>90</v>
      </c>
      <c r="C59" s="3" t="s">
        <v>91</v>
      </c>
      <c r="D59" s="9">
        <v>9.7087378640776698E-2</v>
      </c>
      <c r="E59" s="9">
        <v>0.35087719298245612</v>
      </c>
      <c r="F59" s="3">
        <v>1</v>
      </c>
    </row>
    <row r="60" spans="1:6" ht="18.75" customHeight="1" x14ac:dyDescent="0.25">
      <c r="A60" s="10" t="s">
        <v>93</v>
      </c>
      <c r="B60" s="3" t="s">
        <v>94</v>
      </c>
      <c r="C60" s="3" t="s">
        <v>95</v>
      </c>
      <c r="D60" s="9">
        <v>0.48543689320388345</v>
      </c>
      <c r="E60" s="9">
        <v>1.7543859649122806</v>
      </c>
      <c r="F60" s="3">
        <v>5</v>
      </c>
    </row>
    <row r="61" spans="1:6" ht="18.75" customHeight="1" x14ac:dyDescent="0.25">
      <c r="A61" s="10" t="s">
        <v>96</v>
      </c>
      <c r="B61" s="3" t="s">
        <v>23</v>
      </c>
      <c r="C61" s="3" t="s">
        <v>97</v>
      </c>
      <c r="D61" s="9">
        <v>9.7087378640776698E-2</v>
      </c>
      <c r="E61" s="9">
        <v>0.35087719298245612</v>
      </c>
      <c r="F61" s="3">
        <v>1</v>
      </c>
    </row>
    <row r="62" spans="1:6" ht="18.75" customHeight="1" x14ac:dyDescent="0.25">
      <c r="A62" s="10" t="s">
        <v>98</v>
      </c>
      <c r="B62" s="3" t="s">
        <v>23</v>
      </c>
      <c r="C62" s="3" t="s">
        <v>97</v>
      </c>
      <c r="D62" s="9">
        <v>0.48543689320388345</v>
      </c>
      <c r="E62" s="9">
        <v>1.7543859649122806</v>
      </c>
      <c r="F62" s="3">
        <v>5</v>
      </c>
    </row>
    <row r="63" spans="1:6" ht="18.75" customHeight="1" x14ac:dyDescent="0.25">
      <c r="A63" s="10" t="s">
        <v>99</v>
      </c>
      <c r="B63" s="3" t="s">
        <v>23</v>
      </c>
      <c r="C63" s="3" t="s">
        <v>97</v>
      </c>
      <c r="D63" s="9">
        <v>0.29126213592233008</v>
      </c>
      <c r="E63" s="9">
        <v>1.0526315789473684</v>
      </c>
      <c r="F63" s="3">
        <v>3</v>
      </c>
    </row>
    <row r="64" spans="1:6" ht="18.75" customHeight="1" x14ac:dyDescent="0.25">
      <c r="A64" s="10" t="s">
        <v>100</v>
      </c>
      <c r="B64" s="3" t="s">
        <v>26</v>
      </c>
      <c r="C64" s="3" t="s">
        <v>27</v>
      </c>
      <c r="D64" s="9">
        <v>10.58252427184466</v>
      </c>
      <c r="E64" s="9">
        <v>38.245614035087719</v>
      </c>
      <c r="F64" s="3">
        <f>42+67</f>
        <v>109</v>
      </c>
    </row>
    <row r="65" spans="1:6" ht="18.75" customHeight="1" x14ac:dyDescent="0.25">
      <c r="A65" s="10" t="s">
        <v>101</v>
      </c>
      <c r="B65" s="3" t="s">
        <v>26</v>
      </c>
      <c r="C65" s="3" t="s">
        <v>27</v>
      </c>
      <c r="D65" s="9">
        <v>5.0485436893203879</v>
      </c>
      <c r="E65" s="9">
        <v>18.245614035087719</v>
      </c>
      <c r="F65" s="3">
        <f>11+41</f>
        <v>52</v>
      </c>
    </row>
    <row r="66" spans="1:6" ht="18.75" customHeight="1" x14ac:dyDescent="0.25">
      <c r="A66" s="10" t="s">
        <v>102</v>
      </c>
      <c r="B66" s="3" t="s">
        <v>26</v>
      </c>
      <c r="C66" s="3" t="s">
        <v>27</v>
      </c>
      <c r="D66" s="9">
        <v>5.5339805825242721</v>
      </c>
      <c r="E66" s="9">
        <v>20</v>
      </c>
      <c r="F66" s="3">
        <f>45+12</f>
        <v>57</v>
      </c>
    </row>
    <row r="67" spans="1:6" ht="18.75" customHeight="1" x14ac:dyDescent="0.25">
      <c r="A67" s="10" t="s">
        <v>103</v>
      </c>
      <c r="B67" s="3" t="s">
        <v>26</v>
      </c>
      <c r="C67" s="3" t="s">
        <v>27</v>
      </c>
      <c r="D67" s="9">
        <v>4.4660194174757279</v>
      </c>
      <c r="E67" s="9">
        <v>16.140350877192983</v>
      </c>
      <c r="F67" s="3">
        <f>8+38</f>
        <v>46</v>
      </c>
    </row>
    <row r="68" spans="1:6" ht="18.75" customHeight="1" x14ac:dyDescent="0.25">
      <c r="A68" s="10" t="s">
        <v>104</v>
      </c>
      <c r="B68" s="3" t="s">
        <v>26</v>
      </c>
      <c r="C68" s="3" t="s">
        <v>27</v>
      </c>
      <c r="D68" s="9">
        <v>0.77669902912621358</v>
      </c>
      <c r="E68" s="9">
        <v>2.807017543859649</v>
      </c>
      <c r="F68" s="3">
        <f>7+1</f>
        <v>8</v>
      </c>
    </row>
    <row r="69" spans="1:6" ht="18.75" customHeight="1" x14ac:dyDescent="0.25">
      <c r="A69" s="10" t="s">
        <v>105</v>
      </c>
      <c r="B69" s="3" t="s">
        <v>26</v>
      </c>
      <c r="C69" s="3" t="s">
        <v>27</v>
      </c>
      <c r="D69" s="9">
        <v>0.1941747572815534</v>
      </c>
      <c r="E69" s="9">
        <v>0.70175438596491224</v>
      </c>
      <c r="F69" s="3">
        <v>2</v>
      </c>
    </row>
    <row r="70" spans="1:6" ht="18.75" customHeight="1" x14ac:dyDescent="0.25">
      <c r="A70" s="10" t="s">
        <v>106</v>
      </c>
      <c r="B70" s="3" t="s">
        <v>26</v>
      </c>
      <c r="C70" s="3" t="s">
        <v>27</v>
      </c>
      <c r="D70" s="9">
        <v>9.7087378640776698E-2</v>
      </c>
      <c r="E70" s="9">
        <v>0.35087719298245612</v>
      </c>
      <c r="F70" s="3">
        <v>1</v>
      </c>
    </row>
    <row r="71" spans="1:6" ht="18.75" customHeight="1" x14ac:dyDescent="0.25">
      <c r="A71" s="10" t="s">
        <v>107</v>
      </c>
      <c r="B71" s="3" t="s">
        <v>26</v>
      </c>
      <c r="C71" s="3" t="s">
        <v>27</v>
      </c>
      <c r="D71" s="9">
        <v>9.7087378640776698E-2</v>
      </c>
      <c r="E71" s="9">
        <v>0.35087719298245612</v>
      </c>
      <c r="F71" s="3">
        <v>1</v>
      </c>
    </row>
    <row r="72" spans="1:6" ht="18.75" customHeight="1" x14ac:dyDescent="0.25"/>
  </sheetData>
  <autoFilter ref="A2:F71"/>
  <pageMargins left="0.25" right="0.25" top="0.75" bottom="0.75" header="0.3" footer="0.3"/>
  <pageSetup orientation="portrait" r:id="rId1"/>
  <colBreaks count="1" manualBreakCount="1">
    <brk id="5" max="7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view="pageBreakPreview" zoomScaleNormal="100" zoomScaleSheetLayoutView="100" workbookViewId="0">
      <selection activeCell="N13" sqref="N13"/>
    </sheetView>
  </sheetViews>
  <sheetFormatPr defaultRowHeight="15" x14ac:dyDescent="0.25"/>
  <cols>
    <col min="1" max="1" width="15.42578125" customWidth="1"/>
    <col min="2" max="2" width="24" bestFit="1" customWidth="1"/>
    <col min="3" max="3" width="35.85546875" bestFit="1" customWidth="1"/>
    <col min="4" max="4" width="13.5703125" style="8" hidden="1" customWidth="1"/>
    <col min="5" max="5" width="13.5703125" style="8" bestFit="1" customWidth="1"/>
    <col min="6" max="6" width="6.28515625" hidden="1" customWidth="1"/>
    <col min="7" max="10" width="0" hidden="1" customWidth="1"/>
  </cols>
  <sheetData>
    <row r="1" spans="1:10" x14ac:dyDescent="0.25">
      <c r="G1">
        <v>2013</v>
      </c>
    </row>
    <row r="2" spans="1:10" ht="32.25" customHeight="1" x14ac:dyDescent="0.25">
      <c r="A2" s="3" t="s">
        <v>30</v>
      </c>
      <c r="B2" s="3" t="s">
        <v>0</v>
      </c>
      <c r="C2" s="3" t="s">
        <v>1</v>
      </c>
      <c r="D2" s="17" t="s">
        <v>129</v>
      </c>
      <c r="E2" s="17" t="s">
        <v>127</v>
      </c>
      <c r="F2" s="3" t="s">
        <v>31</v>
      </c>
    </row>
    <row r="3" spans="1:10" ht="18.75" customHeight="1" x14ac:dyDescent="0.25">
      <c r="A3" s="10" t="s">
        <v>33</v>
      </c>
      <c r="B3" s="3" t="s">
        <v>6</v>
      </c>
      <c r="C3" s="3" t="s">
        <v>7</v>
      </c>
      <c r="D3" s="9">
        <v>1.9417475728155338</v>
      </c>
      <c r="E3" s="9">
        <v>6.6298342541436464</v>
      </c>
      <c r="F3" s="3">
        <v>12</v>
      </c>
      <c r="G3" s="18">
        <v>14</v>
      </c>
      <c r="J3">
        <f>12/181*100</f>
        <v>6.6298342541436464</v>
      </c>
    </row>
    <row r="4" spans="1:10" ht="18.75" customHeight="1" x14ac:dyDescent="0.25">
      <c r="A4" s="10" t="s">
        <v>34</v>
      </c>
      <c r="B4" s="3" t="s">
        <v>6</v>
      </c>
      <c r="C4" s="3" t="s">
        <v>7</v>
      </c>
      <c r="D4" s="9">
        <v>0.48543689320388345</v>
      </c>
      <c r="E4" s="9">
        <v>1.6574585635359116</v>
      </c>
      <c r="F4" s="3">
        <v>3</v>
      </c>
      <c r="G4" s="18">
        <v>1</v>
      </c>
    </row>
    <row r="5" spans="1:10" ht="18.75" customHeight="1" x14ac:dyDescent="0.25">
      <c r="A5" s="10" t="s">
        <v>35</v>
      </c>
      <c r="B5" s="3" t="s">
        <v>6</v>
      </c>
      <c r="C5" s="3" t="s">
        <v>7</v>
      </c>
      <c r="D5" s="9">
        <v>4.2071197411003238</v>
      </c>
      <c r="E5" s="9">
        <v>14.3646408839779</v>
      </c>
      <c r="F5" s="3">
        <v>26</v>
      </c>
      <c r="G5" s="18">
        <v>19</v>
      </c>
    </row>
    <row r="6" spans="1:10" ht="18.75" customHeight="1" x14ac:dyDescent="0.25">
      <c r="A6" s="10" t="s">
        <v>36</v>
      </c>
      <c r="B6" s="3" t="s">
        <v>6</v>
      </c>
      <c r="C6" s="3" t="s">
        <v>108</v>
      </c>
      <c r="D6" s="9">
        <v>0.3236245954692557</v>
      </c>
      <c r="E6" s="9">
        <v>1.1049723756906076</v>
      </c>
      <c r="F6" s="3">
        <v>2</v>
      </c>
      <c r="G6" s="18">
        <v>7</v>
      </c>
    </row>
    <row r="7" spans="1:10" ht="18.75" customHeight="1" x14ac:dyDescent="0.25">
      <c r="A7" s="10" t="s">
        <v>38</v>
      </c>
      <c r="B7" s="3" t="s">
        <v>6</v>
      </c>
      <c r="C7" s="3" t="s">
        <v>8</v>
      </c>
      <c r="D7" s="9">
        <v>3.7216828478964405</v>
      </c>
      <c r="E7" s="9">
        <v>12.707182320441991</v>
      </c>
      <c r="F7" s="3">
        <v>23</v>
      </c>
      <c r="G7" s="19">
        <v>20</v>
      </c>
    </row>
    <row r="8" spans="1:10" ht="18.75" customHeight="1" x14ac:dyDescent="0.25">
      <c r="A8" s="10" t="s">
        <v>109</v>
      </c>
      <c r="B8" s="3" t="s">
        <v>6</v>
      </c>
      <c r="C8" s="3" t="s">
        <v>8</v>
      </c>
      <c r="D8" s="9">
        <v>0.48543689320388345</v>
      </c>
      <c r="E8" s="9">
        <v>1.6574585635359116</v>
      </c>
      <c r="F8" s="3">
        <v>3</v>
      </c>
      <c r="G8" s="19">
        <v>11</v>
      </c>
    </row>
    <row r="9" spans="1:10" ht="18.75" customHeight="1" x14ac:dyDescent="0.25">
      <c r="A9" s="10" t="s">
        <v>110</v>
      </c>
      <c r="B9" s="3" t="s">
        <v>6</v>
      </c>
      <c r="C9" s="3" t="s">
        <v>9</v>
      </c>
      <c r="D9" s="9">
        <v>8.89967637540453</v>
      </c>
      <c r="E9" s="9">
        <v>30.386740331491712</v>
      </c>
      <c r="F9" s="3">
        <v>55</v>
      </c>
      <c r="G9" s="19">
        <v>105</v>
      </c>
    </row>
    <row r="10" spans="1:10" ht="18.75" customHeight="1" x14ac:dyDescent="0.25">
      <c r="A10" s="10" t="s">
        <v>111</v>
      </c>
      <c r="B10" s="3" t="s">
        <v>6</v>
      </c>
      <c r="C10" s="3" t="s">
        <v>9</v>
      </c>
      <c r="D10" s="9">
        <v>0.3236245954692557</v>
      </c>
      <c r="E10" s="9">
        <v>1.1049723756906076</v>
      </c>
      <c r="F10" s="3">
        <v>2</v>
      </c>
      <c r="G10" s="18">
        <v>2</v>
      </c>
    </row>
    <row r="11" spans="1:10" ht="18.75" customHeight="1" x14ac:dyDescent="0.25">
      <c r="A11" s="10" t="s">
        <v>42</v>
      </c>
      <c r="B11" s="3" t="s">
        <v>6</v>
      </c>
      <c r="C11" s="3" t="s">
        <v>9</v>
      </c>
      <c r="D11" s="9">
        <v>7.1197411003236244</v>
      </c>
      <c r="E11" s="9">
        <v>24.30939226519337</v>
      </c>
      <c r="F11" s="3">
        <v>44</v>
      </c>
      <c r="G11" s="19">
        <v>1</v>
      </c>
    </row>
    <row r="12" spans="1:10" ht="18.75" customHeight="1" x14ac:dyDescent="0.25">
      <c r="A12" s="10" t="s">
        <v>43</v>
      </c>
      <c r="B12" s="3" t="s">
        <v>6</v>
      </c>
      <c r="C12" s="3" t="s">
        <v>9</v>
      </c>
      <c r="D12" s="9">
        <v>0.16181229773462785</v>
      </c>
      <c r="E12" s="9">
        <v>0.55248618784530379</v>
      </c>
      <c r="F12" s="3">
        <v>1</v>
      </c>
      <c r="G12" s="19">
        <v>32</v>
      </c>
    </row>
    <row r="13" spans="1:10" ht="18.75" customHeight="1" x14ac:dyDescent="0.25">
      <c r="A13" s="10" t="s">
        <v>112</v>
      </c>
      <c r="B13" s="3" t="s">
        <v>6</v>
      </c>
      <c r="C13" s="13" t="s">
        <v>9</v>
      </c>
      <c r="D13" s="9">
        <v>0.16181229773462785</v>
      </c>
      <c r="E13" s="9">
        <v>0.55248618784530379</v>
      </c>
      <c r="F13" s="3">
        <v>1</v>
      </c>
    </row>
    <row r="14" spans="1:10" ht="18.75" customHeight="1" x14ac:dyDescent="0.25">
      <c r="A14" s="10" t="s">
        <v>45</v>
      </c>
      <c r="B14" s="3" t="s">
        <v>6</v>
      </c>
      <c r="C14" s="3" t="s">
        <v>9</v>
      </c>
      <c r="D14" s="9">
        <v>0.97087378640776689</v>
      </c>
      <c r="E14" s="9">
        <v>3.3149171270718232</v>
      </c>
      <c r="F14" s="3">
        <v>6</v>
      </c>
      <c r="G14" s="18">
        <v>11</v>
      </c>
    </row>
    <row r="15" spans="1:10" ht="18.75" customHeight="1" x14ac:dyDescent="0.25">
      <c r="A15" s="10" t="s">
        <v>113</v>
      </c>
      <c r="B15" s="3" t="s">
        <v>6</v>
      </c>
      <c r="C15" s="3" t="s">
        <v>9</v>
      </c>
      <c r="D15" s="9">
        <v>0.48543689320388345</v>
      </c>
      <c r="E15" s="9">
        <v>1.6574585635359116</v>
      </c>
      <c r="F15" s="3">
        <v>3</v>
      </c>
      <c r="G15" s="19">
        <v>11</v>
      </c>
    </row>
    <row r="16" spans="1:10" ht="18.75" customHeight="1" x14ac:dyDescent="0.25">
      <c r="A16" s="10" t="s">
        <v>114</v>
      </c>
      <c r="B16" s="3" t="s">
        <v>6</v>
      </c>
      <c r="C16" s="3" t="s">
        <v>9</v>
      </c>
      <c r="D16" s="9">
        <v>8.89967637540453</v>
      </c>
      <c r="E16" s="9">
        <v>30.386740331491712</v>
      </c>
      <c r="F16" s="3">
        <v>55</v>
      </c>
      <c r="G16" s="19">
        <v>106</v>
      </c>
    </row>
    <row r="17" spans="1:7" ht="18.75" customHeight="1" x14ac:dyDescent="0.25">
      <c r="A17" s="10" t="s">
        <v>40</v>
      </c>
      <c r="B17" s="3" t="s">
        <v>6</v>
      </c>
      <c r="C17" s="3" t="s">
        <v>41</v>
      </c>
      <c r="D17" s="9">
        <v>0.48543689320388345</v>
      </c>
      <c r="E17" s="9">
        <v>1.6574585635359116</v>
      </c>
      <c r="F17" s="3">
        <v>3</v>
      </c>
      <c r="G17" s="18">
        <v>1</v>
      </c>
    </row>
    <row r="18" spans="1:7" ht="30.75" customHeight="1" x14ac:dyDescent="0.25">
      <c r="A18" s="10" t="s">
        <v>53</v>
      </c>
      <c r="B18" s="11" t="s">
        <v>54</v>
      </c>
      <c r="C18" s="12" t="s">
        <v>115</v>
      </c>
      <c r="D18" s="9">
        <v>6.4724919093851128</v>
      </c>
      <c r="E18" s="9">
        <v>22.099447513812155</v>
      </c>
      <c r="F18" s="3">
        <v>40</v>
      </c>
      <c r="G18" s="19">
        <v>53</v>
      </c>
    </row>
    <row r="19" spans="1:7" ht="30.75" customHeight="1" x14ac:dyDescent="0.25">
      <c r="A19" s="10" t="s">
        <v>116</v>
      </c>
      <c r="B19" s="11" t="s">
        <v>54</v>
      </c>
      <c r="C19" s="12" t="s">
        <v>115</v>
      </c>
      <c r="D19" s="9">
        <v>0.48543689320388345</v>
      </c>
      <c r="E19" s="9">
        <v>1.6574585635359116</v>
      </c>
      <c r="F19" s="3">
        <v>3</v>
      </c>
    </row>
    <row r="20" spans="1:7" ht="18.75" customHeight="1" x14ac:dyDescent="0.25">
      <c r="A20" s="10" t="s">
        <v>57</v>
      </c>
      <c r="B20" s="11" t="s">
        <v>54</v>
      </c>
      <c r="C20" s="3" t="s">
        <v>15</v>
      </c>
      <c r="D20" s="9">
        <v>0.16181229773462785</v>
      </c>
      <c r="E20" s="9">
        <v>0.55248618784530379</v>
      </c>
      <c r="F20" s="3">
        <v>1</v>
      </c>
      <c r="G20" s="18">
        <v>4</v>
      </c>
    </row>
    <row r="21" spans="1:7" ht="18.75" customHeight="1" x14ac:dyDescent="0.25">
      <c r="A21" s="10" t="s">
        <v>60</v>
      </c>
      <c r="B21" s="11" t="s">
        <v>54</v>
      </c>
      <c r="C21" s="3" t="s">
        <v>15</v>
      </c>
      <c r="D21" s="9">
        <v>0.3236245954692557</v>
      </c>
      <c r="E21" s="9">
        <v>1.1049723756906076</v>
      </c>
      <c r="F21" s="3">
        <v>2</v>
      </c>
    </row>
    <row r="22" spans="1:7" ht="18.75" customHeight="1" x14ac:dyDescent="0.25">
      <c r="A22" s="10" t="s">
        <v>65</v>
      </c>
      <c r="B22" s="11" t="s">
        <v>54</v>
      </c>
      <c r="C22" s="3" t="s">
        <v>15</v>
      </c>
      <c r="D22" s="9">
        <v>7.2815533980582519</v>
      </c>
      <c r="E22" s="9">
        <v>24.861878453038674</v>
      </c>
      <c r="F22" s="3">
        <v>45</v>
      </c>
      <c r="G22" s="18">
        <v>54</v>
      </c>
    </row>
    <row r="23" spans="1:7" ht="18.75" customHeight="1" x14ac:dyDescent="0.25">
      <c r="A23" s="10" t="s">
        <v>117</v>
      </c>
      <c r="B23" s="11" t="s">
        <v>54</v>
      </c>
      <c r="C23" s="3" t="s">
        <v>15</v>
      </c>
      <c r="D23" s="9">
        <v>0.16181229773462785</v>
      </c>
      <c r="E23" s="9">
        <v>0.55248618784530379</v>
      </c>
      <c r="F23" s="3">
        <v>1</v>
      </c>
    </row>
    <row r="24" spans="1:7" ht="18.75" customHeight="1" x14ac:dyDescent="0.25">
      <c r="A24" s="10" t="s">
        <v>118</v>
      </c>
      <c r="B24" s="11" t="s">
        <v>54</v>
      </c>
      <c r="C24" s="3" t="s">
        <v>59</v>
      </c>
      <c r="D24" s="9">
        <v>0.16181229773462785</v>
      </c>
      <c r="E24" s="9">
        <v>0.55248618784530379</v>
      </c>
      <c r="F24" s="3">
        <v>1</v>
      </c>
    </row>
    <row r="25" spans="1:7" ht="30.75" customHeight="1" x14ac:dyDescent="0.25">
      <c r="A25" s="10" t="s">
        <v>132</v>
      </c>
      <c r="B25" s="11" t="s">
        <v>54</v>
      </c>
      <c r="C25" s="12" t="s">
        <v>59</v>
      </c>
      <c r="D25" s="9"/>
      <c r="E25" s="9"/>
      <c r="F25" s="3"/>
      <c r="G25">
        <v>1</v>
      </c>
    </row>
    <row r="26" spans="1:7" ht="18.75" customHeight="1" x14ac:dyDescent="0.25">
      <c r="A26" s="10" t="s">
        <v>66</v>
      </c>
      <c r="B26" s="3"/>
      <c r="C26" s="3" t="s">
        <v>119</v>
      </c>
      <c r="D26" s="9">
        <v>0.48543689320388345</v>
      </c>
      <c r="E26" s="9">
        <v>1.6574585635359116</v>
      </c>
      <c r="F26" s="3">
        <v>3</v>
      </c>
    </row>
    <row r="27" spans="1:7" ht="18.75" customHeight="1" x14ac:dyDescent="0.25">
      <c r="A27" s="10" t="s">
        <v>69</v>
      </c>
      <c r="B27" s="3" t="s">
        <v>16</v>
      </c>
      <c r="C27" s="3" t="s">
        <v>17</v>
      </c>
      <c r="D27" s="9">
        <v>5.0161812297734629</v>
      </c>
      <c r="E27" s="9">
        <v>17.127071823204421</v>
      </c>
      <c r="F27" s="3">
        <v>31</v>
      </c>
      <c r="G27" s="18">
        <v>28</v>
      </c>
    </row>
    <row r="28" spans="1:7" ht="18.75" customHeight="1" x14ac:dyDescent="0.25">
      <c r="A28" s="10" t="s">
        <v>70</v>
      </c>
      <c r="B28" s="3" t="s">
        <v>16</v>
      </c>
      <c r="C28" s="3" t="s">
        <v>17</v>
      </c>
      <c r="D28" s="9">
        <v>7.4433656957928811</v>
      </c>
      <c r="E28" s="9">
        <v>25.414364640883981</v>
      </c>
      <c r="F28" s="3">
        <v>46</v>
      </c>
      <c r="G28" s="18">
        <v>90</v>
      </c>
    </row>
    <row r="29" spans="1:7" ht="18.75" customHeight="1" x14ac:dyDescent="0.25">
      <c r="A29" s="10" t="s">
        <v>71</v>
      </c>
      <c r="B29" s="3" t="s">
        <v>16</v>
      </c>
      <c r="C29" s="3" t="s">
        <v>17</v>
      </c>
      <c r="D29" s="9">
        <v>0.3236245954692557</v>
      </c>
      <c r="E29" s="9">
        <v>1.1049723756906076</v>
      </c>
      <c r="F29" s="3">
        <v>2</v>
      </c>
    </row>
    <row r="30" spans="1:7" ht="18.75" customHeight="1" x14ac:dyDescent="0.25">
      <c r="A30" s="10" t="s">
        <v>133</v>
      </c>
      <c r="B30" s="3" t="s">
        <v>16</v>
      </c>
      <c r="C30" s="3" t="s">
        <v>73</v>
      </c>
      <c r="D30" s="9"/>
      <c r="E30" s="9"/>
      <c r="F30" s="3"/>
      <c r="G30">
        <v>1</v>
      </c>
    </row>
    <row r="31" spans="1:7" ht="18.75" customHeight="1" x14ac:dyDescent="0.25">
      <c r="A31" s="10" t="s">
        <v>120</v>
      </c>
      <c r="B31" s="3" t="s">
        <v>16</v>
      </c>
      <c r="C31" s="13" t="s">
        <v>73</v>
      </c>
      <c r="D31" s="9">
        <v>0.3236245954692557</v>
      </c>
      <c r="E31" s="9">
        <v>1.1049723756906076</v>
      </c>
      <c r="F31" s="3">
        <v>2</v>
      </c>
    </row>
    <row r="32" spans="1:7" ht="18.75" customHeight="1" x14ac:dyDescent="0.25">
      <c r="A32" s="10" t="s">
        <v>88</v>
      </c>
      <c r="B32" s="3" t="s">
        <v>21</v>
      </c>
      <c r="C32" s="3" t="s">
        <v>22</v>
      </c>
      <c r="D32" s="9">
        <v>0.8090614886731391</v>
      </c>
      <c r="E32" s="9">
        <v>2.7624309392265194</v>
      </c>
      <c r="F32" s="3">
        <v>5</v>
      </c>
      <c r="G32" s="18">
        <v>11</v>
      </c>
    </row>
    <row r="33" spans="1:7" ht="18.75" customHeight="1" x14ac:dyDescent="0.25">
      <c r="A33" s="10" t="s">
        <v>85</v>
      </c>
      <c r="B33" s="3" t="s">
        <v>21</v>
      </c>
      <c r="C33" s="3" t="s">
        <v>22</v>
      </c>
      <c r="D33" s="9">
        <v>0.16181229773462785</v>
      </c>
      <c r="E33" s="9">
        <v>0.55248618784530379</v>
      </c>
      <c r="F33" s="3">
        <v>1</v>
      </c>
    </row>
    <row r="34" spans="1:7" ht="18.75" customHeight="1" x14ac:dyDescent="0.25">
      <c r="A34" s="10" t="s">
        <v>86</v>
      </c>
      <c r="B34" s="3" t="s">
        <v>21</v>
      </c>
      <c r="C34" s="3" t="s">
        <v>22</v>
      </c>
      <c r="D34" s="9">
        <v>0.3236245954692557</v>
      </c>
      <c r="E34" s="9">
        <v>1.1049723756906076</v>
      </c>
      <c r="F34" s="3">
        <v>2</v>
      </c>
      <c r="G34" s="18">
        <v>2</v>
      </c>
    </row>
    <row r="35" spans="1:7" ht="18.75" customHeight="1" x14ac:dyDescent="0.25">
      <c r="A35" s="10" t="s">
        <v>93</v>
      </c>
      <c r="B35" s="3" t="s">
        <v>94</v>
      </c>
      <c r="C35" s="3" t="s">
        <v>95</v>
      </c>
      <c r="D35" s="9">
        <v>0.3236245954692557</v>
      </c>
      <c r="E35" s="9">
        <v>1.1049723756906076</v>
      </c>
      <c r="F35" s="3">
        <v>2</v>
      </c>
    </row>
    <row r="36" spans="1:7" ht="18.75" customHeight="1" x14ac:dyDescent="0.25">
      <c r="A36" s="10" t="s">
        <v>100</v>
      </c>
      <c r="B36" s="3" t="s">
        <v>26</v>
      </c>
      <c r="C36" s="3" t="s">
        <v>27</v>
      </c>
      <c r="D36" s="9">
        <v>10.841423948220065</v>
      </c>
      <c r="E36" s="9">
        <v>37.016574585635361</v>
      </c>
      <c r="F36" s="3">
        <v>67</v>
      </c>
      <c r="G36" s="18">
        <v>113</v>
      </c>
    </row>
    <row r="37" spans="1:7" ht="18.75" customHeight="1" x14ac:dyDescent="0.25">
      <c r="A37" s="10" t="s">
        <v>101</v>
      </c>
      <c r="B37" s="3" t="s">
        <v>26</v>
      </c>
      <c r="C37" s="3" t="s">
        <v>27</v>
      </c>
      <c r="D37" s="9">
        <v>6.6343042071197411</v>
      </c>
      <c r="E37" s="9">
        <v>22.651933701657459</v>
      </c>
      <c r="F37" s="3">
        <v>41</v>
      </c>
      <c r="G37" s="19">
        <v>68</v>
      </c>
    </row>
    <row r="38" spans="1:7" ht="18.75" customHeight="1" x14ac:dyDescent="0.25">
      <c r="A38" s="10" t="s">
        <v>102</v>
      </c>
      <c r="B38" s="3" t="s">
        <v>26</v>
      </c>
      <c r="C38" s="3" t="s">
        <v>27</v>
      </c>
      <c r="D38" s="9">
        <v>7.2815533980582519</v>
      </c>
      <c r="E38" s="9">
        <v>24.861878453038674</v>
      </c>
      <c r="F38" s="3">
        <v>45</v>
      </c>
      <c r="G38" s="19">
        <v>71</v>
      </c>
    </row>
    <row r="39" spans="1:7" ht="18.75" customHeight="1" x14ac:dyDescent="0.25">
      <c r="A39" s="10" t="s">
        <v>103</v>
      </c>
      <c r="B39" s="3" t="s">
        <v>26</v>
      </c>
      <c r="C39" s="3" t="s">
        <v>27</v>
      </c>
      <c r="D39" s="9">
        <v>6.1488673139158578</v>
      </c>
      <c r="E39" s="9">
        <v>20.994475138121548</v>
      </c>
      <c r="F39" s="3">
        <v>38</v>
      </c>
      <c r="G39" s="19">
        <v>58</v>
      </c>
    </row>
    <row r="40" spans="1:7" ht="18.75" customHeight="1" x14ac:dyDescent="0.25">
      <c r="A40" s="10" t="s">
        <v>104</v>
      </c>
      <c r="B40" s="3" t="s">
        <v>26</v>
      </c>
      <c r="C40" s="3" t="s">
        <v>27</v>
      </c>
      <c r="D40" s="9">
        <v>0.16181229773462785</v>
      </c>
      <c r="E40" s="9">
        <v>0.55248618784530379</v>
      </c>
      <c r="F40" s="3">
        <v>1</v>
      </c>
      <c r="G40" s="19">
        <v>4</v>
      </c>
    </row>
  </sheetData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Correlation CVM 2011-2012</vt:lpstr>
      <vt:lpstr>Table S6</vt:lpstr>
      <vt:lpstr>List_Res Genes Prev CVM_CDC</vt:lpstr>
      <vt:lpstr>List_Res Genes Prev_CVM</vt:lpstr>
      <vt:lpstr>'Correlation CVM 2011-2012'!Print_Area</vt:lpstr>
      <vt:lpstr>'List_Res Genes Prev CVM_CDC'!Print_Area</vt:lpstr>
      <vt:lpstr>'List_Res Genes Prev_CVM'!Print_Area</vt:lpstr>
      <vt:lpstr>'Table S6'!Print_Area</vt:lpstr>
      <vt:lpstr>'List_Res Genes Prev CVM_CDC'!Print_Titles</vt:lpstr>
      <vt:lpstr>'Table S6'!Print_Titles</vt:lpstr>
    </vt:vector>
  </TitlesOfParts>
  <Company>US FDA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Kabera, Claudine</dc:creator>
  <cp:lastModifiedBy>CVM Reviewer</cp:lastModifiedBy>
  <cp:lastPrinted>2015-07-14T18:57:14Z</cp:lastPrinted>
  <dcterms:created xsi:type="dcterms:W3CDTF">2015-03-26T19:44:03Z</dcterms:created>
  <dcterms:modified xsi:type="dcterms:W3CDTF">2016-06-10T20:24:25Z</dcterms:modified>
</cp:coreProperties>
</file>